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30" windowHeight="12975"/>
  </bookViews>
  <sheets>
    <sheet name="引线型" sheetId="3" r:id="rId1"/>
    <sheet name="贴片型 非抗震" sheetId="4" r:id="rId2"/>
    <sheet name="Sheet1" sheetId="5" r:id="rId3"/>
  </sheets>
  <definedNames>
    <definedName name="_xlnm._FilterDatabase" localSheetId="0" hidden="1">引线型!$A$1:$I$148</definedName>
    <definedName name="_xlnm._FilterDatabase" localSheetId="1" hidden="1">'贴片型 非抗震'!$A$1:$AC$109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<sst xmlns="http://schemas.openxmlformats.org/spreadsheetml/2006/main" count="867" uniqueCount="480">
  <si>
    <t xml:space="preserve"> 
品号</t>
  </si>
  <si>
    <t>系列</t>
  </si>
  <si>
    <t>电容尺寸</t>
  </si>
  <si>
    <t>电容直径（铝壳直径）</t>
  </si>
  <si>
    <t>电容高度（裸品高度）</t>
  </si>
  <si>
    <t>电容引线直径</t>
  </si>
  <si>
    <t>电容脚距（黑豆孔距）</t>
  </si>
  <si>
    <t>电容引线长度正</t>
  </si>
  <si>
    <t>电容引线长度负</t>
  </si>
  <si>
    <t>F641746</t>
  </si>
  <si>
    <t>NPM</t>
  </si>
  <si>
    <t>3.55X11</t>
  </si>
  <si>
    <t>F657236</t>
  </si>
  <si>
    <t>VPM</t>
  </si>
  <si>
    <t>4X5.4</t>
  </si>
  <si>
    <t>F666159</t>
  </si>
  <si>
    <t>4X11</t>
  </si>
  <si>
    <t>F666733</t>
  </si>
  <si>
    <t>F667033</t>
  </si>
  <si>
    <t>NPX</t>
  </si>
  <si>
    <t>4X9</t>
  </si>
  <si>
    <t>F667548</t>
  </si>
  <si>
    <t>F656612</t>
  </si>
  <si>
    <t>4X8</t>
  </si>
  <si>
    <t>F667823</t>
  </si>
  <si>
    <t>4X7</t>
  </si>
  <si>
    <t>F662102</t>
  </si>
  <si>
    <t>4X5</t>
  </si>
  <si>
    <t>F655141</t>
  </si>
  <si>
    <t>4X12</t>
  </si>
  <si>
    <t>F663231</t>
  </si>
  <si>
    <t>F666104</t>
  </si>
  <si>
    <t>4X10</t>
  </si>
  <si>
    <t>F666815</t>
  </si>
  <si>
    <t>F667841</t>
  </si>
  <si>
    <t>F667719</t>
  </si>
  <si>
    <t>5X6</t>
  </si>
  <si>
    <t>F667802</t>
  </si>
  <si>
    <t>NPL</t>
  </si>
  <si>
    <t>5X5.7</t>
  </si>
  <si>
    <t>F664386</t>
  </si>
  <si>
    <t>5X5</t>
  </si>
  <si>
    <t>F667829</t>
  </si>
  <si>
    <t>NPT</t>
  </si>
  <si>
    <t>5X10</t>
  </si>
  <si>
    <t>F665733</t>
  </si>
  <si>
    <t>5X15</t>
  </si>
  <si>
    <t>F644067</t>
  </si>
  <si>
    <t>5X12</t>
  </si>
  <si>
    <t>F667846</t>
  </si>
  <si>
    <t>5X9</t>
  </si>
  <si>
    <t>F666172</t>
  </si>
  <si>
    <t>5X8</t>
  </si>
  <si>
    <t>F667418</t>
  </si>
  <si>
    <t>F667798</t>
  </si>
  <si>
    <t>5X7</t>
  </si>
  <si>
    <t>F652458</t>
  </si>
  <si>
    <t>F662312</t>
  </si>
  <si>
    <t>5X13</t>
  </si>
  <si>
    <t>F667111</t>
  </si>
  <si>
    <t>F666975</t>
  </si>
  <si>
    <t>NGY</t>
  </si>
  <si>
    <t>5X11</t>
  </si>
  <si>
    <t>F667736</t>
  </si>
  <si>
    <t>F647468</t>
  </si>
  <si>
    <t>F667412</t>
  </si>
  <si>
    <t>5.5X9</t>
  </si>
  <si>
    <t>F659789</t>
  </si>
  <si>
    <t>5.5X8</t>
  </si>
  <si>
    <t>F665939</t>
  </si>
  <si>
    <t>5.5X7</t>
  </si>
  <si>
    <t>F661056</t>
  </si>
  <si>
    <t>5.5X6</t>
  </si>
  <si>
    <t>F665793</t>
  </si>
  <si>
    <t>5.5X15</t>
  </si>
  <si>
    <t>F652750</t>
  </si>
  <si>
    <t>5.5X14</t>
  </si>
  <si>
    <t>F660930</t>
  </si>
  <si>
    <t>5.5X12</t>
  </si>
  <si>
    <t>F647582</t>
  </si>
  <si>
    <t>5.5X11</t>
  </si>
  <si>
    <t>F634112</t>
  </si>
  <si>
    <t>F667487</t>
  </si>
  <si>
    <t>5.5X10</t>
  </si>
  <si>
    <t>F666492</t>
  </si>
  <si>
    <t>5.5X18</t>
  </si>
  <si>
    <t>F643488</t>
  </si>
  <si>
    <t>6.3X8</t>
  </si>
  <si>
    <t>F666477</t>
  </si>
  <si>
    <t>6.3X7</t>
  </si>
  <si>
    <t>F667228</t>
  </si>
  <si>
    <t>6.3X4.2</t>
  </si>
  <si>
    <t>F643450</t>
  </si>
  <si>
    <t>F641837</t>
  </si>
  <si>
    <t>6.3X10</t>
  </si>
  <si>
    <t>F646526</t>
  </si>
  <si>
    <t>F666851</t>
  </si>
  <si>
    <t>NHX</t>
  </si>
  <si>
    <t>F658166</t>
  </si>
  <si>
    <t>6.3X9</t>
  </si>
  <si>
    <t>F643399</t>
  </si>
  <si>
    <t>F666512</t>
  </si>
  <si>
    <t>F639492</t>
  </si>
  <si>
    <t>F648675</t>
  </si>
  <si>
    <t>F640353</t>
  </si>
  <si>
    <t>F638264</t>
  </si>
  <si>
    <t>6.3X6</t>
  </si>
  <si>
    <t>F656669</t>
  </si>
  <si>
    <t>F641872</t>
  </si>
  <si>
    <t>6.3X5.7</t>
  </si>
  <si>
    <t>F666044</t>
  </si>
  <si>
    <t>F643284</t>
  </si>
  <si>
    <t>6.3X5</t>
  </si>
  <si>
    <t>F662690</t>
  </si>
  <si>
    <t>F667847</t>
  </si>
  <si>
    <t>6.3X23</t>
  </si>
  <si>
    <t>F666931</t>
  </si>
  <si>
    <t>6.3X20</t>
  </si>
  <si>
    <t>F667672</t>
  </si>
  <si>
    <t>NHT</t>
  </si>
  <si>
    <t>6.3X2.7</t>
  </si>
  <si>
    <t>F649532</t>
  </si>
  <si>
    <t>6.3X15</t>
  </si>
  <si>
    <t>F663277</t>
  </si>
  <si>
    <t>6.3X14</t>
  </si>
  <si>
    <t>F652992</t>
  </si>
  <si>
    <t>6.3X12</t>
  </si>
  <si>
    <t>F660720</t>
  </si>
  <si>
    <t>6.3X11</t>
  </si>
  <si>
    <t>F654613</t>
  </si>
  <si>
    <t>F666579</t>
  </si>
  <si>
    <t>6.3X18</t>
  </si>
  <si>
    <t>F662072</t>
  </si>
  <si>
    <t>6.3X13.5</t>
  </si>
  <si>
    <t>F655489</t>
  </si>
  <si>
    <t>NPH</t>
  </si>
  <si>
    <t>8X11.5</t>
  </si>
  <si>
    <t>F647545</t>
  </si>
  <si>
    <t>8X22</t>
  </si>
  <si>
    <t>F665721</t>
  </si>
  <si>
    <t>8X30</t>
  </si>
  <si>
    <t>F639142</t>
  </si>
  <si>
    <t>8X9</t>
  </si>
  <si>
    <t>F667503</t>
  </si>
  <si>
    <t>F666072</t>
  </si>
  <si>
    <t>8X20</t>
  </si>
  <si>
    <t>F661743</t>
  </si>
  <si>
    <t>8X10</t>
  </si>
  <si>
    <t>F643837</t>
  </si>
  <si>
    <t>8X16</t>
  </si>
  <si>
    <t>F667733</t>
  </si>
  <si>
    <t>F645422</t>
  </si>
  <si>
    <t>F667429</t>
  </si>
  <si>
    <t>F656948</t>
  </si>
  <si>
    <t>8X8</t>
  </si>
  <si>
    <t>F666469</t>
  </si>
  <si>
    <t>8X7</t>
  </si>
  <si>
    <t>F662736</t>
  </si>
  <si>
    <t>8X6.2</t>
  </si>
  <si>
    <t>F644356</t>
  </si>
  <si>
    <t>8X6</t>
  </si>
  <si>
    <t>F658100</t>
  </si>
  <si>
    <t>F666386</t>
  </si>
  <si>
    <t>8X18</t>
  </si>
  <si>
    <t>F661928</t>
  </si>
  <si>
    <t>F657800</t>
  </si>
  <si>
    <t>8X14</t>
  </si>
  <si>
    <t>F666036</t>
  </si>
  <si>
    <t>8X12.5</t>
  </si>
  <si>
    <t>F665410</t>
  </si>
  <si>
    <t>8X12</t>
  </si>
  <si>
    <t>F661878</t>
  </si>
  <si>
    <t>F652864</t>
  </si>
  <si>
    <t>NPW</t>
  </si>
  <si>
    <t>F654858</t>
  </si>
  <si>
    <t>8X11</t>
  </si>
  <si>
    <t>F660362</t>
  </si>
  <si>
    <t>F662859</t>
  </si>
  <si>
    <t>F667506</t>
  </si>
  <si>
    <t>F665975</t>
  </si>
  <si>
    <t>F667041</t>
  </si>
  <si>
    <t>10X9</t>
  </si>
  <si>
    <t>F665563</t>
  </si>
  <si>
    <t>10X8</t>
  </si>
  <si>
    <t>F666561</t>
  </si>
  <si>
    <t>10X23</t>
  </si>
  <si>
    <t>F667741</t>
  </si>
  <si>
    <t>10X21</t>
  </si>
  <si>
    <t>F667788</t>
  </si>
  <si>
    <t>F661872</t>
  </si>
  <si>
    <t>10X18</t>
  </si>
  <si>
    <t>F638470</t>
  </si>
  <si>
    <t>F658099</t>
  </si>
  <si>
    <t>10X17</t>
  </si>
  <si>
    <t>F654732</t>
  </si>
  <si>
    <t>10X16</t>
  </si>
  <si>
    <t>F640369</t>
  </si>
  <si>
    <t>10X15</t>
  </si>
  <si>
    <t>F655600</t>
  </si>
  <si>
    <t>10X14</t>
  </si>
  <si>
    <t>F639931</t>
  </si>
  <si>
    <t>10X13</t>
  </si>
  <si>
    <t>F666852</t>
  </si>
  <si>
    <t>F639201</t>
  </si>
  <si>
    <t>10X12.5</t>
  </si>
  <si>
    <t>F657514</t>
  </si>
  <si>
    <t>10X12</t>
  </si>
  <si>
    <t>F644815</t>
  </si>
  <si>
    <t>F658550</t>
  </si>
  <si>
    <t>F647380</t>
  </si>
  <si>
    <t>10X11</t>
  </si>
  <si>
    <t>F667491</t>
  </si>
  <si>
    <t>10X10</t>
  </si>
  <si>
    <t>F666033</t>
  </si>
  <si>
    <t>10X7</t>
  </si>
  <si>
    <t>F660964</t>
  </si>
  <si>
    <t>10X6.5</t>
  </si>
  <si>
    <t>F663407</t>
  </si>
  <si>
    <t>10X30</t>
  </si>
  <si>
    <t>F666269</t>
  </si>
  <si>
    <t>10X25</t>
  </si>
  <si>
    <t>F658098</t>
  </si>
  <si>
    <t>10X20</t>
  </si>
  <si>
    <t>F665810</t>
  </si>
  <si>
    <t>12.5X50</t>
  </si>
  <si>
    <t>F665651</t>
  </si>
  <si>
    <t>12.5X35</t>
  </si>
  <si>
    <t>F666569</t>
  </si>
  <si>
    <t>12.5X30</t>
  </si>
  <si>
    <t>F659567</t>
  </si>
  <si>
    <t>12.5X25</t>
  </si>
  <si>
    <t>F666568</t>
  </si>
  <si>
    <t>12.5X23</t>
  </si>
  <si>
    <t>F664673</t>
  </si>
  <si>
    <t>12.5X21</t>
  </si>
  <si>
    <t>F666307</t>
  </si>
  <si>
    <t>12.5X20</t>
  </si>
  <si>
    <t>F666885</t>
  </si>
  <si>
    <t>12.5X18</t>
  </si>
  <si>
    <t>F646906</t>
  </si>
  <si>
    <t>12.5X16</t>
  </si>
  <si>
    <t>F647410</t>
  </si>
  <si>
    <t>12.5X14</t>
  </si>
  <si>
    <t>F647455</t>
  </si>
  <si>
    <t>12.5X12.5</t>
  </si>
  <si>
    <t>F652914</t>
  </si>
  <si>
    <t>F664317</t>
  </si>
  <si>
    <t>NPS</t>
  </si>
  <si>
    <t>12.5X10.5</t>
  </si>
  <si>
    <t>F666549</t>
  </si>
  <si>
    <t>13X25</t>
  </si>
  <si>
    <t>F667444</t>
  </si>
  <si>
    <t>16X31.5</t>
  </si>
  <si>
    <t>F666996</t>
  </si>
  <si>
    <t>NPG</t>
  </si>
  <si>
    <t>16X25</t>
  </si>
  <si>
    <t>F665229</t>
  </si>
  <si>
    <t>16X20</t>
  </si>
  <si>
    <t>F664518</t>
  </si>
  <si>
    <t>16X16</t>
  </si>
  <si>
    <t>F665935</t>
  </si>
  <si>
    <t>NHR</t>
  </si>
  <si>
    <t>18X35.5</t>
  </si>
  <si>
    <t>F658115</t>
  </si>
  <si>
    <t>18X31.5</t>
  </si>
  <si>
    <t>F650040</t>
  </si>
  <si>
    <t>18X31</t>
  </si>
  <si>
    <t>F666611</t>
  </si>
  <si>
    <t>18X30</t>
  </si>
  <si>
    <t>F667138</t>
  </si>
  <si>
    <t>18X25</t>
  </si>
  <si>
    <t>F645596</t>
  </si>
  <si>
    <t>18X20</t>
  </si>
  <si>
    <t>F665957</t>
  </si>
  <si>
    <t>22X50</t>
  </si>
  <si>
    <t>电容直径</t>
  </si>
  <si>
    <t>底座厚度</t>
  </si>
  <si>
    <t>引脚打扁超出座板的高度</t>
  </si>
  <si>
    <t>电容总高度</t>
  </si>
  <si>
    <t>座板底边长度A</t>
  </si>
  <si>
    <t>座板底边长度B</t>
  </si>
  <si>
    <t>高凸</t>
  </si>
  <si>
    <t>低凸</t>
  </si>
  <si>
    <t>电容正负引脚超出座板的长度</t>
  </si>
  <si>
    <t>F661485</t>
  </si>
  <si>
    <t>VPX</t>
  </si>
  <si>
    <t>5X5.8</t>
  </si>
  <si>
    <t>F664764</t>
  </si>
  <si>
    <t>F644488</t>
  </si>
  <si>
    <t>项目</t>
  </si>
  <si>
    <t>AB边 W</t>
  </si>
  <si>
    <t>内圆腔</t>
  </si>
  <si>
    <t xml:space="preserve"> 孔径 Ca</t>
  </si>
  <si>
    <t>孔径</t>
  </si>
  <si>
    <t>孔距</t>
  </si>
  <si>
    <t>本体</t>
  </si>
  <si>
    <t>槽宽</t>
  </si>
  <si>
    <t xml:space="preserve"> 槽深</t>
  </si>
  <si>
    <t>F646567</t>
  </si>
  <si>
    <t>VPL</t>
  </si>
  <si>
    <t xml:space="preserve"> C</t>
  </si>
  <si>
    <t>Cb</t>
  </si>
  <si>
    <t>P</t>
  </si>
  <si>
    <t>L1</t>
  </si>
  <si>
    <t xml:space="preserve"> L2</t>
  </si>
  <si>
    <t>L3</t>
  </si>
  <si>
    <t>W4</t>
  </si>
  <si>
    <t xml:space="preserve">L5  </t>
  </si>
  <si>
    <t>F653294</t>
  </si>
  <si>
    <t>公差</t>
  </si>
  <si>
    <t>±0.05</t>
  </si>
  <si>
    <t>±0.03</t>
  </si>
  <si>
    <t>F666506</t>
  </si>
  <si>
    <t>/</t>
  </si>
  <si>
    <t>F642338</t>
  </si>
  <si>
    <t>F646922</t>
  </si>
  <si>
    <t>F666365</t>
  </si>
  <si>
    <t>F646715</t>
  </si>
  <si>
    <t>VPT</t>
  </si>
  <si>
    <t>F659777</t>
  </si>
  <si>
    <t>F640039</t>
  </si>
  <si>
    <t>F665933</t>
  </si>
  <si>
    <t>F643372</t>
  </si>
  <si>
    <t>F667242</t>
  </si>
  <si>
    <t>/　</t>
  </si>
  <si>
    <t>F666087</t>
  </si>
  <si>
    <t>0.45内-0.50外</t>
  </si>
  <si>
    <t>F657801</t>
  </si>
  <si>
    <t>0.54内-0.59外</t>
  </si>
  <si>
    <t>F667274</t>
  </si>
  <si>
    <t>VHX</t>
  </si>
  <si>
    <t>F665006</t>
  </si>
  <si>
    <t>F657232</t>
  </si>
  <si>
    <t>5X7.7</t>
  </si>
  <si>
    <t>F666967</t>
  </si>
  <si>
    <t>F657058</t>
  </si>
  <si>
    <t>5X15.5</t>
  </si>
  <si>
    <t>F659854</t>
  </si>
  <si>
    <t>F665879</t>
  </si>
  <si>
    <t>5X8.5</t>
  </si>
  <si>
    <t>F660910</t>
  </si>
  <si>
    <t>5X9.5</t>
  </si>
  <si>
    <t>F648487</t>
  </si>
  <si>
    <t>F667670</t>
  </si>
  <si>
    <t>F666167</t>
  </si>
  <si>
    <t>5.5X15.5</t>
  </si>
  <si>
    <t>F652526</t>
  </si>
  <si>
    <t>5.5X12.5</t>
  </si>
  <si>
    <t>F657235</t>
  </si>
  <si>
    <t>5.5X9.5</t>
  </si>
  <si>
    <t>F662311</t>
  </si>
  <si>
    <t>5.5X8.5</t>
  </si>
  <si>
    <t>F660782</t>
  </si>
  <si>
    <t>VHR</t>
  </si>
  <si>
    <t>6.3X10.5</t>
  </si>
  <si>
    <t>F667739</t>
  </si>
  <si>
    <t>VP4</t>
  </si>
  <si>
    <t>6.3X3.95</t>
  </si>
  <si>
    <t>F646216</t>
  </si>
  <si>
    <t>F664199</t>
  </si>
  <si>
    <t>6.3X4.5</t>
  </si>
  <si>
    <t>F661777</t>
  </si>
  <si>
    <t>VHT</t>
  </si>
  <si>
    <t>6.3X7.7</t>
  </si>
  <si>
    <t>F656835</t>
  </si>
  <si>
    <t>F661217</t>
  </si>
  <si>
    <t>6.3X5.8</t>
  </si>
  <si>
    <t>F648842</t>
  </si>
  <si>
    <t>6.3X9.5</t>
  </si>
  <si>
    <t>F637133</t>
  </si>
  <si>
    <t>F646202</t>
  </si>
  <si>
    <t>F643317</t>
  </si>
  <si>
    <t>6.3X16</t>
  </si>
  <si>
    <t>F651080</t>
  </si>
  <si>
    <t>6.3X13</t>
  </si>
  <si>
    <t>F667199</t>
  </si>
  <si>
    <t>F655750</t>
  </si>
  <si>
    <t>6.3X8.5</t>
  </si>
  <si>
    <t>F640221</t>
  </si>
  <si>
    <t>F655004</t>
  </si>
  <si>
    <t>F643217</t>
  </si>
  <si>
    <t>F666170</t>
  </si>
  <si>
    <t>F666162</t>
  </si>
  <si>
    <t>VPW</t>
  </si>
  <si>
    <t>6.3X6.1</t>
  </si>
  <si>
    <t>F639127</t>
  </si>
  <si>
    <t>F667553</t>
  </si>
  <si>
    <t>F667560</t>
  </si>
  <si>
    <t>F662765</t>
  </si>
  <si>
    <t>F667050</t>
  </si>
  <si>
    <t>8X10.5</t>
  </si>
  <si>
    <t>F658873</t>
  </si>
  <si>
    <t>F642997</t>
  </si>
  <si>
    <t>8X16.5</t>
  </si>
  <si>
    <t>F653311</t>
  </si>
  <si>
    <t>F655181</t>
  </si>
  <si>
    <t>F640561</t>
  </si>
  <si>
    <t>8X15</t>
  </si>
  <si>
    <t>F658643</t>
  </si>
  <si>
    <t>8X7.7</t>
  </si>
  <si>
    <t>F653947</t>
  </si>
  <si>
    <t>F638155</t>
  </si>
  <si>
    <t>F653945</t>
  </si>
  <si>
    <t>8X13.5</t>
  </si>
  <si>
    <t>F647153</t>
  </si>
  <si>
    <t>8X6.5</t>
  </si>
  <si>
    <t>F667327</t>
  </si>
  <si>
    <t>8X9.5</t>
  </si>
  <si>
    <t>F647848</t>
  </si>
  <si>
    <t>F662240</t>
  </si>
  <si>
    <t>F664117</t>
  </si>
  <si>
    <t>VHU</t>
  </si>
  <si>
    <t>F658380</t>
  </si>
  <si>
    <t>F663308</t>
  </si>
  <si>
    <t>8X8.5</t>
  </si>
  <si>
    <t>F667688</t>
  </si>
  <si>
    <t>8X17</t>
  </si>
  <si>
    <t>F662967</t>
  </si>
  <si>
    <t>F642636</t>
  </si>
  <si>
    <t>10X13.5</t>
  </si>
  <si>
    <t>F643671</t>
  </si>
  <si>
    <t>10X10.5</t>
  </si>
  <si>
    <t>F660558</t>
  </si>
  <si>
    <t>F653561</t>
  </si>
  <si>
    <t>10X19.5</t>
  </si>
  <si>
    <t>F666953</t>
  </si>
  <si>
    <t>F653347</t>
  </si>
  <si>
    <t>10X15.5</t>
  </si>
  <si>
    <t>F666273</t>
  </si>
  <si>
    <t>F653926</t>
  </si>
  <si>
    <t>10X22</t>
  </si>
  <si>
    <t>F653441</t>
  </si>
  <si>
    <t>10X14.5</t>
  </si>
  <si>
    <t>F666857</t>
  </si>
  <si>
    <t>10X9.5</t>
  </si>
  <si>
    <t>F665786</t>
  </si>
  <si>
    <t>10X8.5</t>
  </si>
  <si>
    <t>F645860</t>
  </si>
  <si>
    <t>10X7.7</t>
  </si>
  <si>
    <t>F638338</t>
  </si>
  <si>
    <t>F647682</t>
  </si>
  <si>
    <t>F663375</t>
  </si>
  <si>
    <t>10X6.7</t>
  </si>
  <si>
    <t>F661591</t>
  </si>
  <si>
    <t>10X16.5</t>
  </si>
  <si>
    <t>F649515</t>
  </si>
  <si>
    <t>VHM</t>
  </si>
  <si>
    <t>F662837</t>
  </si>
  <si>
    <t>F666450</t>
  </si>
  <si>
    <t>F667547</t>
  </si>
  <si>
    <t>10X8.2</t>
  </si>
  <si>
    <t>F653565</t>
  </si>
  <si>
    <t>F649951</t>
  </si>
  <si>
    <t>12.5X15</t>
  </si>
  <si>
    <t>F667252</t>
  </si>
  <si>
    <t>12.5X13.5</t>
  </si>
  <si>
    <t>F655472</t>
  </si>
  <si>
    <t>12.5X17</t>
  </si>
  <si>
    <t>F658131</t>
  </si>
  <si>
    <t>F656683</t>
  </si>
  <si>
    <t>12.5X19</t>
  </si>
  <si>
    <t>F661276</t>
  </si>
  <si>
    <t>12.5X16.5</t>
  </si>
  <si>
    <t>F667426</t>
  </si>
  <si>
    <t>12.5X18.5</t>
  </si>
  <si>
    <t>F666725</t>
  </si>
  <si>
    <t>VPG</t>
  </si>
  <si>
    <t>16X16.5</t>
  </si>
  <si>
    <t>F666858</t>
  </si>
  <si>
    <t>16X21.5</t>
  </si>
  <si>
    <t>F666262</t>
  </si>
  <si>
    <t>16X26.5</t>
  </si>
  <si>
    <t>F667804</t>
  </si>
  <si>
    <t>16X19.5</t>
  </si>
  <si>
    <t>F651178</t>
  </si>
  <si>
    <t>18X21.5</t>
  </si>
  <si>
    <t>F656092</t>
  </si>
  <si>
    <t>18X26.5</t>
  </si>
  <si>
    <t>F667844</t>
  </si>
  <si>
    <t>18X19.5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</si>
</sst>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4" fillId="13" borderId="9" applyNumberFormat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6" fillId="14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3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478155</xdr:colOff>
      <xdr:row>18</xdr:row>
      <xdr:rowOff>32385</xdr:rowOff>
    </xdr:from>
    <xdr:to>
      <xdr:col>29</xdr:col>
      <xdr:colOff>260985</xdr:colOff>
      <xdr:row>40</xdr:row>
      <xdr:rowOff>153670</xdr:rowOff>
    </xdr:to>
    <xdr:pic>
      <xdr:nvPicPr>
        <xdr:cNvPr id="2" name="图片 1" descr="企业微信截图_175081847476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126470" y="4359910"/>
          <a:ext cx="8581390" cy="4731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148"/>
  <sheetViews>
    <sheetView tabSelected="1" zoomScale="90" zoomScaleNormal="90" workbookViewId="0">
      <pane ySplit="1" topLeftCell="A87" activePane="bottomLeft" state="frozen"/>
      <selection/>
      <selection pane="bottomLeft" activeCell="A114" sqref="$A114:$XFD116"/>
    </sheetView>
  </sheetViews>
  <sheetFormatPr defaultColWidth="9" defaultRowHeight="13.5"/>
  <cols>
    <col min="1" max="2" width="19.625" style="29" customWidth="1"/>
    <col min="3" max="3" width="10.375" style="30" customWidth="1"/>
    <col min="4" max="9" width="19.625" style="29" customWidth="1"/>
  </cols>
  <sheetData>
    <row r="1" s="21" customFormat="1" ht="48" customHeight="1" spans="1:9">
      <c r="A1" s="31" t="s">
        <v>0</v>
      </c>
      <c r="B1" s="31" t="s">
        <v>1</v>
      </c>
      <c r="C1" s="32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</row>
    <row r="2" s="22" customFormat="1" ht="16.5" spans="1:9">
      <c r="A2" s="10" t="s">
        <v>9</v>
      </c>
      <c r="B2" s="10" t="s">
        <v>10</v>
      </c>
      <c r="C2" s="10" t="s">
        <v>11</v>
      </c>
      <c r="D2" s="10">
        <v>3.75</v>
      </c>
      <c r="E2" s="10">
        <v>11.2</v>
      </c>
      <c r="F2" s="10">
        <v>0.45</v>
      </c>
      <c r="G2" s="10">
        <v>1.5</v>
      </c>
      <c r="H2" s="10">
        <v>25</v>
      </c>
      <c r="I2" s="10">
        <v>20</v>
      </c>
    </row>
    <row r="3" s="23" customFormat="1" ht="16.5" spans="1:9">
      <c r="A3" s="33" t="s">
        <v>12</v>
      </c>
      <c r="B3" s="33" t="s">
        <v>13</v>
      </c>
      <c r="C3" s="33" t="s">
        <v>14</v>
      </c>
      <c r="D3" s="33">
        <v>4</v>
      </c>
      <c r="E3" s="33">
        <v>5.25</v>
      </c>
      <c r="F3" s="33">
        <v>0.5</v>
      </c>
      <c r="G3" s="33">
        <v>1.6</v>
      </c>
      <c r="H3" s="33">
        <v>25</v>
      </c>
      <c r="I3" s="33">
        <v>20</v>
      </c>
    </row>
    <row r="4" s="23" customFormat="1" ht="16.5" spans="1:9">
      <c r="A4" s="33" t="s">
        <v>15</v>
      </c>
      <c r="B4" s="33" t="s">
        <v>13</v>
      </c>
      <c r="C4" s="33" t="s">
        <v>16</v>
      </c>
      <c r="D4" s="33">
        <v>4</v>
      </c>
      <c r="E4" s="33">
        <v>11.4</v>
      </c>
      <c r="F4" s="33">
        <v>0.5</v>
      </c>
      <c r="G4" s="33">
        <v>1.6</v>
      </c>
      <c r="H4" s="33">
        <v>25</v>
      </c>
      <c r="I4" s="33">
        <v>20</v>
      </c>
    </row>
    <row r="5" s="23" customFormat="1" ht="16.5" spans="1:9">
      <c r="A5" s="33" t="s">
        <v>17</v>
      </c>
      <c r="B5" s="33" t="s">
        <v>13</v>
      </c>
      <c r="C5" s="33" t="s">
        <v>16</v>
      </c>
      <c r="D5" s="33">
        <v>4</v>
      </c>
      <c r="E5" s="33">
        <v>11.35</v>
      </c>
      <c r="F5" s="33">
        <v>0.5</v>
      </c>
      <c r="G5" s="33">
        <v>1.65</v>
      </c>
      <c r="H5" s="33">
        <v>25</v>
      </c>
      <c r="I5" s="33">
        <v>20</v>
      </c>
    </row>
    <row r="6" s="23" customFormat="1" ht="16.5" spans="1:9">
      <c r="A6" s="33" t="s">
        <v>18</v>
      </c>
      <c r="B6" s="33" t="s">
        <v>19</v>
      </c>
      <c r="C6" s="33" t="s">
        <v>20</v>
      </c>
      <c r="D6" s="33">
        <v>4</v>
      </c>
      <c r="E6" s="33">
        <v>8.95</v>
      </c>
      <c r="F6" s="33">
        <v>0.5</v>
      </c>
      <c r="G6" s="33">
        <v>1.6</v>
      </c>
      <c r="H6" s="33">
        <v>25</v>
      </c>
      <c r="I6" s="33">
        <v>20</v>
      </c>
    </row>
    <row r="7" s="23" customFormat="1" ht="16.5" spans="1:9">
      <c r="A7" s="33" t="s">
        <v>21</v>
      </c>
      <c r="B7" s="33" t="s">
        <v>10</v>
      </c>
      <c r="C7" s="33" t="s">
        <v>20</v>
      </c>
      <c r="D7" s="33">
        <v>4</v>
      </c>
      <c r="E7" s="33">
        <v>9.65</v>
      </c>
      <c r="F7" s="33">
        <v>0.5</v>
      </c>
      <c r="G7" s="33">
        <v>1.6</v>
      </c>
      <c r="H7" s="33">
        <v>25</v>
      </c>
      <c r="I7" s="33">
        <v>20</v>
      </c>
    </row>
    <row r="8" s="23" customFormat="1" ht="16.5" spans="1:9">
      <c r="A8" s="33" t="s">
        <v>22</v>
      </c>
      <c r="B8" s="33" t="s">
        <v>10</v>
      </c>
      <c r="C8" s="33" t="s">
        <v>23</v>
      </c>
      <c r="D8" s="33">
        <v>4</v>
      </c>
      <c r="E8" s="33">
        <v>7.95</v>
      </c>
      <c r="F8" s="33">
        <v>0.5</v>
      </c>
      <c r="G8" s="33">
        <v>1.6</v>
      </c>
      <c r="H8" s="33">
        <v>25</v>
      </c>
      <c r="I8" s="33">
        <v>20</v>
      </c>
    </row>
    <row r="9" s="23" customFormat="1" ht="16.5" spans="1:9">
      <c r="A9" s="33" t="s">
        <v>24</v>
      </c>
      <c r="B9" s="33" t="s">
        <v>10</v>
      </c>
      <c r="C9" s="33" t="s">
        <v>25</v>
      </c>
      <c r="D9" s="33">
        <v>4</v>
      </c>
      <c r="E9" s="33">
        <v>7.95</v>
      </c>
      <c r="F9" s="33">
        <v>0.5</v>
      </c>
      <c r="G9" s="33">
        <v>1.6</v>
      </c>
      <c r="H9" s="33">
        <v>25</v>
      </c>
      <c r="I9" s="33">
        <v>20</v>
      </c>
    </row>
    <row r="10" s="23" customFormat="1" ht="16.5" spans="1:9">
      <c r="A10" s="33" t="s">
        <v>26</v>
      </c>
      <c r="B10" s="33" t="s">
        <v>10</v>
      </c>
      <c r="C10" s="33" t="s">
        <v>27</v>
      </c>
      <c r="D10" s="33">
        <v>4</v>
      </c>
      <c r="E10" s="33">
        <v>5.25</v>
      </c>
      <c r="F10" s="33">
        <v>0.5</v>
      </c>
      <c r="G10" s="33">
        <v>1.6</v>
      </c>
      <c r="H10" s="33">
        <v>25</v>
      </c>
      <c r="I10" s="33">
        <v>20</v>
      </c>
    </row>
    <row r="11" s="23" customFormat="1" ht="16.5" spans="1:9">
      <c r="A11" s="33" t="s">
        <v>28</v>
      </c>
      <c r="B11" s="33" t="s">
        <v>10</v>
      </c>
      <c r="C11" s="33" t="s">
        <v>29</v>
      </c>
      <c r="D11" s="33">
        <v>4</v>
      </c>
      <c r="E11" s="33">
        <v>11.2</v>
      </c>
      <c r="F11" s="33">
        <v>0.5</v>
      </c>
      <c r="G11" s="33">
        <v>1.6</v>
      </c>
      <c r="H11" s="33">
        <v>25</v>
      </c>
      <c r="I11" s="33">
        <v>20</v>
      </c>
    </row>
    <row r="12" s="23" customFormat="1" ht="16.5" spans="1:9">
      <c r="A12" s="33" t="s">
        <v>30</v>
      </c>
      <c r="B12" s="33" t="s">
        <v>10</v>
      </c>
      <c r="C12" s="33" t="s">
        <v>16</v>
      </c>
      <c r="D12" s="33">
        <v>4</v>
      </c>
      <c r="E12" s="33">
        <v>11.2</v>
      </c>
      <c r="F12" s="33">
        <v>0.5</v>
      </c>
      <c r="G12" s="33">
        <v>1.6</v>
      </c>
      <c r="H12" s="33">
        <v>25</v>
      </c>
      <c r="I12" s="33">
        <v>20</v>
      </c>
    </row>
    <row r="13" s="23" customFormat="1" ht="16.5" spans="1:9">
      <c r="A13" s="33" t="s">
        <v>31</v>
      </c>
      <c r="B13" s="33" t="s">
        <v>19</v>
      </c>
      <c r="C13" s="33" t="s">
        <v>32</v>
      </c>
      <c r="D13" s="33">
        <v>4</v>
      </c>
      <c r="E13" s="33">
        <v>11.2</v>
      </c>
      <c r="F13" s="33">
        <v>0.5</v>
      </c>
      <c r="G13" s="33">
        <v>1.6</v>
      </c>
      <c r="H13" s="33">
        <v>25</v>
      </c>
      <c r="I13" s="33">
        <v>20</v>
      </c>
    </row>
    <row r="14" s="23" customFormat="1" ht="16.5" spans="1:9">
      <c r="A14" s="33" t="s">
        <v>33</v>
      </c>
      <c r="B14" s="33" t="s">
        <v>10</v>
      </c>
      <c r="C14" s="33" t="s">
        <v>32</v>
      </c>
      <c r="D14" s="33">
        <v>4</v>
      </c>
      <c r="E14" s="33">
        <v>10.15</v>
      </c>
      <c r="F14" s="33">
        <v>0.5</v>
      </c>
      <c r="G14" s="33">
        <v>1.6</v>
      </c>
      <c r="H14" s="33">
        <v>25</v>
      </c>
      <c r="I14" s="33">
        <v>20</v>
      </c>
    </row>
    <row r="15" s="23" customFormat="1" ht="16.5" spans="1:9">
      <c r="A15" s="33" t="s">
        <v>34</v>
      </c>
      <c r="B15" s="33" t="s">
        <v>10</v>
      </c>
      <c r="C15" s="33" t="s">
        <v>25</v>
      </c>
      <c r="D15" s="33">
        <v>4</v>
      </c>
      <c r="E15" s="33">
        <v>7.95</v>
      </c>
      <c r="F15" s="33">
        <v>0.5</v>
      </c>
      <c r="G15" s="33">
        <v>1.65</v>
      </c>
      <c r="H15" s="33">
        <v>25</v>
      </c>
      <c r="I15" s="33">
        <v>20</v>
      </c>
    </row>
    <row r="16" s="23" customFormat="1" ht="16.5" spans="1:9">
      <c r="A16" s="33" t="s">
        <v>35</v>
      </c>
      <c r="B16" s="33" t="s">
        <v>19</v>
      </c>
      <c r="C16" s="33" t="s">
        <v>36</v>
      </c>
      <c r="D16" s="33">
        <v>5</v>
      </c>
      <c r="E16" s="33">
        <v>6.95</v>
      </c>
      <c r="F16" s="33">
        <v>0.5</v>
      </c>
      <c r="G16" s="33">
        <v>2</v>
      </c>
      <c r="H16" s="33">
        <v>25</v>
      </c>
      <c r="I16" s="33">
        <v>20</v>
      </c>
    </row>
    <row r="17" s="24" customFormat="1" ht="16.5" spans="1:9">
      <c r="A17" s="34" t="s">
        <v>37</v>
      </c>
      <c r="B17" s="34" t="s">
        <v>38</v>
      </c>
      <c r="C17" s="34" t="s">
        <v>39</v>
      </c>
      <c r="D17" s="34">
        <v>5</v>
      </c>
      <c r="E17" s="34">
        <v>5.35</v>
      </c>
      <c r="F17" s="34">
        <v>0.5</v>
      </c>
      <c r="G17" s="34">
        <v>2</v>
      </c>
      <c r="H17" s="34">
        <v>25</v>
      </c>
      <c r="I17" s="34">
        <v>20</v>
      </c>
    </row>
    <row r="18" s="24" customFormat="1" ht="16.5" spans="1:9">
      <c r="A18" s="34" t="s">
        <v>40</v>
      </c>
      <c r="B18" s="34" t="s">
        <v>19</v>
      </c>
      <c r="C18" s="34" t="s">
        <v>41</v>
      </c>
      <c r="D18" s="34">
        <v>5</v>
      </c>
      <c r="E18" s="34">
        <v>5.35</v>
      </c>
      <c r="F18" s="34">
        <v>0.5</v>
      </c>
      <c r="G18" s="34">
        <v>2</v>
      </c>
      <c r="H18" s="34">
        <v>25</v>
      </c>
      <c r="I18" s="34">
        <v>20</v>
      </c>
    </row>
    <row r="19" s="24" customFormat="1" ht="16.5" spans="1:9">
      <c r="A19" s="34" t="s">
        <v>42</v>
      </c>
      <c r="B19" s="34" t="s">
        <v>43</v>
      </c>
      <c r="C19" s="34" t="s">
        <v>44</v>
      </c>
      <c r="D19" s="34">
        <v>5</v>
      </c>
      <c r="E19" s="34">
        <v>10.75</v>
      </c>
      <c r="F19" s="34">
        <v>0.5</v>
      </c>
      <c r="G19" s="34">
        <v>2</v>
      </c>
      <c r="H19" s="34">
        <v>25</v>
      </c>
      <c r="I19" s="34">
        <v>20</v>
      </c>
    </row>
    <row r="20" s="24" customFormat="1" ht="16.5" spans="1:9">
      <c r="A20" s="34" t="s">
        <v>45</v>
      </c>
      <c r="B20" s="34" t="s">
        <v>19</v>
      </c>
      <c r="C20" s="34" t="s">
        <v>46</v>
      </c>
      <c r="D20" s="34">
        <v>5</v>
      </c>
      <c r="E20" s="34">
        <v>15.35</v>
      </c>
      <c r="F20" s="34">
        <v>0.5</v>
      </c>
      <c r="G20" s="34">
        <v>2.1</v>
      </c>
      <c r="H20" s="34">
        <v>25</v>
      </c>
      <c r="I20" s="34">
        <v>20</v>
      </c>
    </row>
    <row r="21" s="24" customFormat="1" ht="16.5" spans="1:9">
      <c r="A21" s="34" t="s">
        <v>47</v>
      </c>
      <c r="B21" s="34" t="s">
        <v>19</v>
      </c>
      <c r="C21" s="34" t="s">
        <v>48</v>
      </c>
      <c r="D21" s="34">
        <v>5</v>
      </c>
      <c r="E21" s="34">
        <v>12.45</v>
      </c>
      <c r="F21" s="34">
        <v>0.5</v>
      </c>
      <c r="G21" s="34">
        <v>2.1</v>
      </c>
      <c r="H21" s="34">
        <v>25</v>
      </c>
      <c r="I21" s="34">
        <v>20</v>
      </c>
    </row>
    <row r="22" s="24" customFormat="1" ht="16.5" spans="1:9">
      <c r="A22" s="34" t="s">
        <v>49</v>
      </c>
      <c r="B22" s="34" t="s">
        <v>19</v>
      </c>
      <c r="C22" s="34" t="s">
        <v>50</v>
      </c>
      <c r="D22" s="34">
        <v>5.15</v>
      </c>
      <c r="E22" s="34">
        <v>9.15</v>
      </c>
      <c r="F22" s="34">
        <v>0.5</v>
      </c>
      <c r="G22" s="34">
        <v>2.1</v>
      </c>
      <c r="H22" s="34">
        <v>25</v>
      </c>
      <c r="I22" s="34">
        <v>20</v>
      </c>
    </row>
    <row r="23" s="24" customFormat="1" ht="16.5" spans="1:9">
      <c r="A23" s="34" t="s">
        <v>51</v>
      </c>
      <c r="B23" s="34" t="s">
        <v>38</v>
      </c>
      <c r="C23" s="34" t="s">
        <v>52</v>
      </c>
      <c r="D23" s="34">
        <v>5.15</v>
      </c>
      <c r="E23" s="34">
        <v>7.95</v>
      </c>
      <c r="F23" s="34">
        <v>0.5</v>
      </c>
      <c r="G23" s="34">
        <v>2.1</v>
      </c>
      <c r="H23" s="34">
        <v>25</v>
      </c>
      <c r="I23" s="34">
        <v>20</v>
      </c>
    </row>
    <row r="24" s="24" customFormat="1" ht="16.5" spans="1:9">
      <c r="A24" s="34" t="s">
        <v>53</v>
      </c>
      <c r="B24" s="34" t="s">
        <v>19</v>
      </c>
      <c r="C24" s="34" t="s">
        <v>52</v>
      </c>
      <c r="D24" s="34">
        <v>5.15</v>
      </c>
      <c r="E24" s="34">
        <v>6.9</v>
      </c>
      <c r="F24" s="34">
        <v>0.5</v>
      </c>
      <c r="G24" s="34">
        <v>2.1</v>
      </c>
      <c r="H24" s="34">
        <v>25</v>
      </c>
      <c r="I24" s="34">
        <v>20</v>
      </c>
    </row>
    <row r="25" s="24" customFormat="1" ht="16.5" spans="1:9">
      <c r="A25" s="34" t="s">
        <v>54</v>
      </c>
      <c r="B25" s="34" t="s">
        <v>19</v>
      </c>
      <c r="C25" s="34" t="s">
        <v>55</v>
      </c>
      <c r="D25" s="34">
        <v>5.15</v>
      </c>
      <c r="E25" s="34">
        <v>7.95</v>
      </c>
      <c r="F25" s="34">
        <v>0.5</v>
      </c>
      <c r="G25" s="34">
        <v>2.1</v>
      </c>
      <c r="H25" s="34">
        <v>25</v>
      </c>
      <c r="I25" s="34">
        <v>20</v>
      </c>
    </row>
    <row r="26" s="24" customFormat="1" ht="16.5" spans="1:9">
      <c r="A26" s="34" t="s">
        <v>56</v>
      </c>
      <c r="B26" s="34" t="s">
        <v>19</v>
      </c>
      <c r="C26" s="34" t="s">
        <v>46</v>
      </c>
      <c r="D26" s="34">
        <v>5.15</v>
      </c>
      <c r="E26" s="34">
        <v>15.35</v>
      </c>
      <c r="F26" s="34">
        <v>0.5</v>
      </c>
      <c r="G26" s="34">
        <v>2.1</v>
      </c>
      <c r="H26" s="34">
        <v>25</v>
      </c>
      <c r="I26" s="34">
        <v>20</v>
      </c>
    </row>
    <row r="27" s="24" customFormat="1" ht="16.5" spans="1:9">
      <c r="A27" s="34" t="s">
        <v>57</v>
      </c>
      <c r="B27" s="34" t="s">
        <v>43</v>
      </c>
      <c r="C27" s="34" t="s">
        <v>58</v>
      </c>
      <c r="D27" s="34">
        <v>5.15</v>
      </c>
      <c r="E27" s="34">
        <v>13.9</v>
      </c>
      <c r="F27" s="34">
        <v>0.5</v>
      </c>
      <c r="G27" s="34">
        <v>2.1</v>
      </c>
      <c r="H27" s="34">
        <v>25</v>
      </c>
      <c r="I27" s="34">
        <v>20</v>
      </c>
    </row>
    <row r="28" s="24" customFormat="1" ht="16.5" spans="1:9">
      <c r="A28" s="34" t="s">
        <v>59</v>
      </c>
      <c r="B28" s="34" t="s">
        <v>19</v>
      </c>
      <c r="C28" s="34" t="s">
        <v>48</v>
      </c>
      <c r="D28" s="34">
        <v>5.15</v>
      </c>
      <c r="E28" s="34">
        <v>12.45</v>
      </c>
      <c r="F28" s="34">
        <v>0.5</v>
      </c>
      <c r="G28" s="34">
        <v>2.1</v>
      </c>
      <c r="H28" s="34">
        <v>25</v>
      </c>
      <c r="I28" s="34">
        <v>20</v>
      </c>
    </row>
    <row r="29" s="24" customFormat="1" ht="16.5" spans="1:9">
      <c r="A29" s="34" t="s">
        <v>60</v>
      </c>
      <c r="B29" s="34" t="s">
        <v>61</v>
      </c>
      <c r="C29" s="34" t="s">
        <v>62</v>
      </c>
      <c r="D29" s="34">
        <v>5.15</v>
      </c>
      <c r="E29" s="34">
        <v>11.55</v>
      </c>
      <c r="F29" s="34">
        <v>0.5</v>
      </c>
      <c r="G29" s="34">
        <v>2.1</v>
      </c>
      <c r="H29" s="34">
        <v>25</v>
      </c>
      <c r="I29" s="34">
        <v>20</v>
      </c>
    </row>
    <row r="30" s="24" customFormat="1" ht="16.5" spans="1:9">
      <c r="A30" s="34" t="s">
        <v>63</v>
      </c>
      <c r="B30" s="34" t="s">
        <v>19</v>
      </c>
      <c r="C30" s="34" t="s">
        <v>62</v>
      </c>
      <c r="D30" s="34">
        <v>5.15</v>
      </c>
      <c r="E30" s="34">
        <v>11.65</v>
      </c>
      <c r="F30" s="34">
        <v>0.5</v>
      </c>
      <c r="G30" s="34">
        <v>2.1</v>
      </c>
      <c r="H30" s="34">
        <v>25</v>
      </c>
      <c r="I30" s="34">
        <v>20</v>
      </c>
    </row>
    <row r="31" s="24" customFormat="1" ht="16.5" spans="1:9">
      <c r="A31" s="34" t="s">
        <v>64</v>
      </c>
      <c r="B31" s="34" t="s">
        <v>19</v>
      </c>
      <c r="C31" s="34" t="s">
        <v>44</v>
      </c>
      <c r="D31" s="34">
        <v>5.15</v>
      </c>
      <c r="E31" s="34">
        <v>9.15</v>
      </c>
      <c r="F31" s="34">
        <v>0.5</v>
      </c>
      <c r="G31" s="34">
        <v>2.1</v>
      </c>
      <c r="H31" s="34">
        <v>25</v>
      </c>
      <c r="I31" s="34">
        <v>20</v>
      </c>
    </row>
    <row r="32" s="25" customFormat="1" ht="16.5" spans="1:9">
      <c r="A32" s="35" t="s">
        <v>65</v>
      </c>
      <c r="B32" s="35" t="s">
        <v>19</v>
      </c>
      <c r="C32" s="35" t="s">
        <v>66</v>
      </c>
      <c r="D32" s="35">
        <v>5.45</v>
      </c>
      <c r="E32" s="35">
        <v>9.15</v>
      </c>
      <c r="F32" s="35">
        <v>0.5</v>
      </c>
      <c r="G32" s="35">
        <v>2.6</v>
      </c>
      <c r="H32" s="35">
        <v>25</v>
      </c>
      <c r="I32" s="35">
        <v>20</v>
      </c>
    </row>
    <row r="33" s="25" customFormat="1" ht="16.5" spans="1:9">
      <c r="A33" s="35" t="s">
        <v>67</v>
      </c>
      <c r="B33" s="35" t="s">
        <v>19</v>
      </c>
      <c r="C33" s="35" t="s">
        <v>68</v>
      </c>
      <c r="D33" s="35">
        <v>5.45</v>
      </c>
      <c r="E33" s="35">
        <v>7.95</v>
      </c>
      <c r="F33" s="35">
        <v>0.5</v>
      </c>
      <c r="G33" s="35">
        <v>2.6</v>
      </c>
      <c r="H33" s="35">
        <v>25</v>
      </c>
      <c r="I33" s="35">
        <v>20</v>
      </c>
    </row>
    <row r="34" s="25" customFormat="1" ht="16.5" spans="1:9">
      <c r="A34" s="35" t="s">
        <v>69</v>
      </c>
      <c r="B34" s="35" t="s">
        <v>19</v>
      </c>
      <c r="C34" s="35" t="s">
        <v>70</v>
      </c>
      <c r="D34" s="35">
        <v>5.45</v>
      </c>
      <c r="E34" s="35">
        <v>7.95</v>
      </c>
      <c r="F34" s="35">
        <v>0.5</v>
      </c>
      <c r="G34" s="35">
        <v>2.6</v>
      </c>
      <c r="H34" s="35">
        <v>25</v>
      </c>
      <c r="I34" s="35">
        <v>20</v>
      </c>
    </row>
    <row r="35" s="25" customFormat="1" ht="16.5" spans="1:9">
      <c r="A35" s="35" t="s">
        <v>71</v>
      </c>
      <c r="B35" s="35" t="s">
        <v>19</v>
      </c>
      <c r="C35" s="35" t="s">
        <v>72</v>
      </c>
      <c r="D35" s="35">
        <v>5.45</v>
      </c>
      <c r="E35" s="35">
        <v>6.95</v>
      </c>
      <c r="F35" s="35">
        <v>0.5</v>
      </c>
      <c r="G35" s="35">
        <v>2.6</v>
      </c>
      <c r="H35" s="35">
        <v>25</v>
      </c>
      <c r="I35" s="35">
        <v>20</v>
      </c>
    </row>
    <row r="36" s="25" customFormat="1" ht="16.5" spans="1:9">
      <c r="A36" s="35" t="s">
        <v>73</v>
      </c>
      <c r="B36" s="35" t="s">
        <v>19</v>
      </c>
      <c r="C36" s="35" t="s">
        <v>74</v>
      </c>
      <c r="D36" s="35">
        <v>5.45</v>
      </c>
      <c r="E36" s="35">
        <v>15.35</v>
      </c>
      <c r="F36" s="35">
        <v>0.5</v>
      </c>
      <c r="G36" s="35">
        <v>2.6</v>
      </c>
      <c r="H36" s="35">
        <v>25</v>
      </c>
      <c r="I36" s="35">
        <v>20</v>
      </c>
    </row>
    <row r="37" s="25" customFormat="1" ht="16.5" spans="1:9">
      <c r="A37" s="35" t="s">
        <v>75</v>
      </c>
      <c r="B37" s="35" t="s">
        <v>19</v>
      </c>
      <c r="C37" s="35" t="s">
        <v>76</v>
      </c>
      <c r="D37" s="35">
        <v>5.45</v>
      </c>
      <c r="E37" s="35">
        <v>13.85</v>
      </c>
      <c r="F37" s="35">
        <v>0.5</v>
      </c>
      <c r="G37" s="35">
        <v>2.6</v>
      </c>
      <c r="H37" s="35">
        <v>25</v>
      </c>
      <c r="I37" s="35">
        <v>20</v>
      </c>
    </row>
    <row r="38" s="25" customFormat="1" ht="16.5" spans="1:9">
      <c r="A38" s="35" t="s">
        <v>77</v>
      </c>
      <c r="B38" s="35" t="s">
        <v>43</v>
      </c>
      <c r="C38" s="35" t="s">
        <v>78</v>
      </c>
      <c r="D38" s="35">
        <v>5.45</v>
      </c>
      <c r="E38" s="35">
        <v>12.45</v>
      </c>
      <c r="F38" s="35">
        <v>0.5</v>
      </c>
      <c r="G38" s="35">
        <v>2.6</v>
      </c>
      <c r="H38" s="35">
        <v>25</v>
      </c>
      <c r="I38" s="35">
        <v>20</v>
      </c>
    </row>
    <row r="39" s="25" customFormat="1" ht="16.5" spans="1:9">
      <c r="A39" s="35" t="s">
        <v>79</v>
      </c>
      <c r="B39" s="35" t="s">
        <v>19</v>
      </c>
      <c r="C39" s="35" t="s">
        <v>80</v>
      </c>
      <c r="D39" s="35">
        <v>5.45</v>
      </c>
      <c r="E39" s="35">
        <v>11.4</v>
      </c>
      <c r="F39" s="35">
        <v>0.5</v>
      </c>
      <c r="G39" s="35">
        <v>2.6</v>
      </c>
      <c r="H39" s="35">
        <v>25</v>
      </c>
      <c r="I39" s="35">
        <v>20</v>
      </c>
    </row>
    <row r="40" s="25" customFormat="1" ht="16.5" spans="1:9">
      <c r="A40" s="35" t="s">
        <v>81</v>
      </c>
      <c r="B40" s="35" t="s">
        <v>19</v>
      </c>
      <c r="C40" s="35" t="s">
        <v>80</v>
      </c>
      <c r="D40" s="35">
        <v>5.45</v>
      </c>
      <c r="E40" s="35">
        <v>11.45</v>
      </c>
      <c r="F40" s="35">
        <v>0.5</v>
      </c>
      <c r="G40" s="35">
        <v>2.6</v>
      </c>
      <c r="H40" s="35">
        <v>25</v>
      </c>
      <c r="I40" s="35">
        <v>20</v>
      </c>
    </row>
    <row r="41" s="25" customFormat="1" ht="16.5" spans="1:9">
      <c r="A41" s="35" t="s">
        <v>82</v>
      </c>
      <c r="B41" s="35" t="s">
        <v>19</v>
      </c>
      <c r="C41" s="35" t="s">
        <v>83</v>
      </c>
      <c r="D41" s="35">
        <v>5.45</v>
      </c>
      <c r="E41" s="35">
        <v>10.95</v>
      </c>
      <c r="F41" s="35">
        <v>0.5</v>
      </c>
      <c r="G41" s="35">
        <v>2.6</v>
      </c>
      <c r="H41" s="35">
        <v>25</v>
      </c>
      <c r="I41" s="35">
        <v>20</v>
      </c>
    </row>
    <row r="42" s="25" customFormat="1" ht="16.5" spans="1:9">
      <c r="A42" s="35" t="s">
        <v>84</v>
      </c>
      <c r="B42" s="35" t="s">
        <v>19</v>
      </c>
      <c r="C42" s="35" t="s">
        <v>85</v>
      </c>
      <c r="D42" s="35">
        <v>5.5</v>
      </c>
      <c r="E42" s="35">
        <v>18.35</v>
      </c>
      <c r="F42" s="35">
        <v>0.5</v>
      </c>
      <c r="G42" s="35">
        <v>2.6</v>
      </c>
      <c r="H42" s="35">
        <v>25</v>
      </c>
      <c r="I42" s="35">
        <v>20</v>
      </c>
    </row>
    <row r="43" s="26" customFormat="1" ht="16.5" spans="1:9">
      <c r="A43" s="36" t="s">
        <v>86</v>
      </c>
      <c r="B43" s="36" t="s">
        <v>19</v>
      </c>
      <c r="C43" s="36" t="s">
        <v>87</v>
      </c>
      <c r="D43" s="36">
        <v>6.3</v>
      </c>
      <c r="E43" s="36">
        <v>8.25</v>
      </c>
      <c r="F43" s="36">
        <v>0.5</v>
      </c>
      <c r="G43" s="36">
        <v>2.6</v>
      </c>
      <c r="H43" s="36">
        <v>25</v>
      </c>
      <c r="I43" s="36">
        <v>20</v>
      </c>
    </row>
    <row r="44" s="26" customFormat="1" ht="16.5" spans="1:9">
      <c r="A44" s="36" t="s">
        <v>88</v>
      </c>
      <c r="B44" s="36" t="s">
        <v>19</v>
      </c>
      <c r="C44" s="36" t="s">
        <v>89</v>
      </c>
      <c r="D44" s="36">
        <v>6.3</v>
      </c>
      <c r="E44" s="36">
        <v>6.85</v>
      </c>
      <c r="F44" s="36">
        <v>0.5</v>
      </c>
      <c r="G44" s="36">
        <v>2.6</v>
      </c>
      <c r="H44" s="36">
        <v>25</v>
      </c>
      <c r="I44" s="36">
        <v>20</v>
      </c>
    </row>
    <row r="45" s="27" customFormat="1" ht="16.5" spans="1:9">
      <c r="A45" s="37" t="s">
        <v>90</v>
      </c>
      <c r="B45" s="37" t="s">
        <v>19</v>
      </c>
      <c r="C45" s="37" t="s">
        <v>91</v>
      </c>
      <c r="D45" s="37">
        <v>6.3</v>
      </c>
      <c r="E45" s="37">
        <v>4.25</v>
      </c>
      <c r="F45" s="37">
        <v>0.5</v>
      </c>
      <c r="G45" s="37">
        <v>2.6</v>
      </c>
      <c r="H45" s="37">
        <v>25</v>
      </c>
      <c r="I45" s="37">
        <v>20</v>
      </c>
    </row>
    <row r="46" s="27" customFormat="1" ht="16.5" spans="1:9">
      <c r="A46" s="37" t="s">
        <v>92</v>
      </c>
      <c r="B46" s="37" t="s">
        <v>19</v>
      </c>
      <c r="C46" s="37" t="s">
        <v>91</v>
      </c>
      <c r="D46" s="37">
        <v>6.3</v>
      </c>
      <c r="E46" s="37">
        <v>3.85</v>
      </c>
      <c r="F46" s="37">
        <v>0.5</v>
      </c>
      <c r="G46" s="37">
        <v>2.6</v>
      </c>
      <c r="H46" s="37">
        <v>25</v>
      </c>
      <c r="I46" s="37">
        <v>20</v>
      </c>
    </row>
    <row r="47" s="27" customFormat="1" ht="16.5" spans="1:9">
      <c r="A47" s="37" t="s">
        <v>93</v>
      </c>
      <c r="B47" s="37" t="s">
        <v>19</v>
      </c>
      <c r="C47" s="37" t="s">
        <v>94</v>
      </c>
      <c r="D47" s="37">
        <v>6.3</v>
      </c>
      <c r="E47" s="37">
        <v>10.25</v>
      </c>
      <c r="F47" s="37">
        <v>0.5</v>
      </c>
      <c r="G47" s="37">
        <v>2.6</v>
      </c>
      <c r="H47" s="37">
        <v>25</v>
      </c>
      <c r="I47" s="37">
        <v>20</v>
      </c>
    </row>
    <row r="48" s="27" customFormat="1" ht="16.5" spans="1:9">
      <c r="A48" s="37" t="s">
        <v>95</v>
      </c>
      <c r="B48" s="37" t="s">
        <v>19</v>
      </c>
      <c r="C48" s="37" t="s">
        <v>94</v>
      </c>
      <c r="D48" s="37">
        <v>6.3</v>
      </c>
      <c r="E48" s="37">
        <v>10.75</v>
      </c>
      <c r="F48" s="37">
        <v>0.5</v>
      </c>
      <c r="G48" s="37">
        <v>2.6</v>
      </c>
      <c r="H48" s="37">
        <v>25</v>
      </c>
      <c r="I48" s="37">
        <v>20</v>
      </c>
    </row>
    <row r="49" s="27" customFormat="1" ht="16.5" spans="1:9">
      <c r="A49" s="37" t="s">
        <v>96</v>
      </c>
      <c r="B49" s="37" t="s">
        <v>97</v>
      </c>
      <c r="C49" s="37" t="s">
        <v>89</v>
      </c>
      <c r="D49" s="37">
        <v>6.3</v>
      </c>
      <c r="E49" s="37">
        <v>7.5</v>
      </c>
      <c r="F49" s="37">
        <v>0.5</v>
      </c>
      <c r="G49" s="37">
        <v>2.75</v>
      </c>
      <c r="H49" s="37">
        <v>25</v>
      </c>
      <c r="I49" s="37">
        <v>20</v>
      </c>
    </row>
    <row r="50" s="23" customFormat="1" ht="16.5" spans="1:9">
      <c r="A50" s="33" t="s">
        <v>98</v>
      </c>
      <c r="B50" s="33" t="s">
        <v>19</v>
      </c>
      <c r="C50" s="33" t="s">
        <v>99</v>
      </c>
      <c r="D50" s="33">
        <v>6.5</v>
      </c>
      <c r="E50" s="33">
        <v>8.25</v>
      </c>
      <c r="F50" s="33">
        <v>0.5</v>
      </c>
      <c r="G50" s="33">
        <v>2.6</v>
      </c>
      <c r="H50" s="33">
        <v>25</v>
      </c>
      <c r="I50" s="33">
        <v>20</v>
      </c>
    </row>
    <row r="51" s="23" customFormat="1" ht="16.5" spans="1:9">
      <c r="A51" s="33" t="s">
        <v>100</v>
      </c>
      <c r="B51" s="33" t="s">
        <v>19</v>
      </c>
      <c r="C51" s="33" t="s">
        <v>99</v>
      </c>
      <c r="D51" s="33">
        <v>6.5</v>
      </c>
      <c r="E51" s="33">
        <v>9.25</v>
      </c>
      <c r="F51" s="33">
        <v>0.5</v>
      </c>
      <c r="G51" s="33">
        <v>2.6</v>
      </c>
      <c r="H51" s="33">
        <v>25</v>
      </c>
      <c r="I51" s="33">
        <v>20</v>
      </c>
    </row>
    <row r="52" s="23" customFormat="1" ht="16.5" spans="1:9">
      <c r="A52" s="33" t="s">
        <v>101</v>
      </c>
      <c r="B52" s="33" t="s">
        <v>19</v>
      </c>
      <c r="C52" s="33" t="s">
        <v>87</v>
      </c>
      <c r="D52" s="33">
        <v>6.5</v>
      </c>
      <c r="E52" s="33">
        <v>8.25</v>
      </c>
      <c r="F52" s="33">
        <v>0.5</v>
      </c>
      <c r="G52" s="33">
        <v>2.6</v>
      </c>
      <c r="H52" s="33">
        <v>25</v>
      </c>
      <c r="I52" s="33">
        <v>20</v>
      </c>
    </row>
    <row r="53" s="23" customFormat="1" ht="16.5" spans="1:9">
      <c r="A53" s="33" t="s">
        <v>102</v>
      </c>
      <c r="B53" s="33" t="s">
        <v>19</v>
      </c>
      <c r="C53" s="33" t="s">
        <v>87</v>
      </c>
      <c r="D53" s="33">
        <v>6.5</v>
      </c>
      <c r="E53" s="33">
        <v>7.85</v>
      </c>
      <c r="F53" s="33">
        <v>0.5</v>
      </c>
      <c r="G53" s="33">
        <v>2.6</v>
      </c>
      <c r="H53" s="33">
        <v>25</v>
      </c>
      <c r="I53" s="33">
        <v>20</v>
      </c>
    </row>
    <row r="54" s="23" customFormat="1" ht="16.5" spans="1:9">
      <c r="A54" s="33" t="s">
        <v>103</v>
      </c>
      <c r="B54" s="33" t="s">
        <v>19</v>
      </c>
      <c r="C54" s="33" t="s">
        <v>89</v>
      </c>
      <c r="D54" s="33">
        <v>6.5</v>
      </c>
      <c r="E54" s="33">
        <v>7.85</v>
      </c>
      <c r="F54" s="33">
        <v>0.5</v>
      </c>
      <c r="G54" s="33">
        <v>2.6</v>
      </c>
      <c r="H54" s="33">
        <v>25</v>
      </c>
      <c r="I54" s="33">
        <v>20</v>
      </c>
    </row>
    <row r="55" s="23" customFormat="1" ht="16.5" spans="1:9">
      <c r="A55" s="33" t="s">
        <v>104</v>
      </c>
      <c r="B55" s="33" t="s">
        <v>19</v>
      </c>
      <c r="C55" s="33" t="s">
        <v>89</v>
      </c>
      <c r="D55" s="33">
        <v>6.5</v>
      </c>
      <c r="E55" s="33">
        <v>7.35</v>
      </c>
      <c r="F55" s="33">
        <v>0.5</v>
      </c>
      <c r="G55" s="33">
        <v>2.6</v>
      </c>
      <c r="H55" s="33">
        <v>25</v>
      </c>
      <c r="I55" s="33">
        <v>20</v>
      </c>
    </row>
    <row r="56" s="26" customFormat="1" ht="16.5" spans="1:9">
      <c r="A56" s="36" t="s">
        <v>105</v>
      </c>
      <c r="B56" s="36" t="s">
        <v>19</v>
      </c>
      <c r="C56" s="36" t="s">
        <v>106</v>
      </c>
      <c r="D56" s="36">
        <v>6.5</v>
      </c>
      <c r="E56" s="36">
        <v>5.7</v>
      </c>
      <c r="F56" s="36">
        <v>0.5</v>
      </c>
      <c r="G56" s="36">
        <v>2.6</v>
      </c>
      <c r="H56" s="36">
        <v>25</v>
      </c>
      <c r="I56" s="36">
        <v>20</v>
      </c>
    </row>
    <row r="57" s="26" customFormat="1" ht="16.5" spans="1:9">
      <c r="A57" s="36" t="s">
        <v>107</v>
      </c>
      <c r="B57" s="36" t="s">
        <v>19</v>
      </c>
      <c r="C57" s="36" t="s">
        <v>106</v>
      </c>
      <c r="D57" s="36">
        <v>6.5</v>
      </c>
      <c r="E57" s="36">
        <v>6.85</v>
      </c>
      <c r="F57" s="36">
        <v>0.5</v>
      </c>
      <c r="G57" s="36">
        <v>2.6</v>
      </c>
      <c r="H57" s="36">
        <v>25</v>
      </c>
      <c r="I57" s="36">
        <v>20</v>
      </c>
    </row>
    <row r="58" s="26" customFormat="1" ht="16.5" spans="1:9">
      <c r="A58" s="36" t="s">
        <v>108</v>
      </c>
      <c r="B58" s="36" t="s">
        <v>38</v>
      </c>
      <c r="C58" s="36" t="s">
        <v>109</v>
      </c>
      <c r="D58" s="36">
        <v>6.5</v>
      </c>
      <c r="E58" s="36">
        <v>5.6</v>
      </c>
      <c r="F58" s="36">
        <v>0.5</v>
      </c>
      <c r="G58" s="36">
        <v>2.6</v>
      </c>
      <c r="H58" s="36">
        <v>25</v>
      </c>
      <c r="I58" s="36">
        <v>20</v>
      </c>
    </row>
    <row r="59" s="26" customFormat="1" ht="16.5" spans="1:9">
      <c r="A59" s="36" t="s">
        <v>110</v>
      </c>
      <c r="B59" s="36" t="s">
        <v>19</v>
      </c>
      <c r="C59" s="36" t="s">
        <v>109</v>
      </c>
      <c r="D59" s="36">
        <v>6.5</v>
      </c>
      <c r="E59" s="36">
        <v>5.7</v>
      </c>
      <c r="F59" s="36">
        <v>0.5</v>
      </c>
      <c r="G59" s="36">
        <v>2.6</v>
      </c>
      <c r="H59" s="36">
        <v>25</v>
      </c>
      <c r="I59" s="36">
        <v>20</v>
      </c>
    </row>
    <row r="60" s="26" customFormat="1" ht="16.5" spans="1:9">
      <c r="A60" s="36" t="s">
        <v>111</v>
      </c>
      <c r="B60" s="36" t="s">
        <v>19</v>
      </c>
      <c r="C60" s="36" t="s">
        <v>112</v>
      </c>
      <c r="D60" s="36">
        <v>6.5</v>
      </c>
      <c r="E60" s="36">
        <v>5.7</v>
      </c>
      <c r="F60" s="36">
        <v>0.5</v>
      </c>
      <c r="G60" s="36">
        <v>2.6</v>
      </c>
      <c r="H60" s="36">
        <v>25</v>
      </c>
      <c r="I60" s="36">
        <v>20</v>
      </c>
    </row>
    <row r="61" s="26" customFormat="1" ht="16.5" spans="1:9">
      <c r="A61" s="36" t="s">
        <v>113</v>
      </c>
      <c r="B61" s="36" t="s">
        <v>38</v>
      </c>
      <c r="C61" s="36" t="s">
        <v>112</v>
      </c>
      <c r="D61" s="36">
        <v>6.5</v>
      </c>
      <c r="E61" s="36">
        <v>5.6</v>
      </c>
      <c r="F61" s="36">
        <v>0.5</v>
      </c>
      <c r="G61" s="36">
        <v>2.6</v>
      </c>
      <c r="H61" s="36">
        <v>25</v>
      </c>
      <c r="I61" s="36">
        <v>20</v>
      </c>
    </row>
    <row r="62" s="26" customFormat="1" ht="16.5" spans="1:9">
      <c r="A62" s="36" t="s">
        <v>114</v>
      </c>
      <c r="B62" s="36" t="s">
        <v>19</v>
      </c>
      <c r="C62" s="36" t="s">
        <v>115</v>
      </c>
      <c r="D62" s="36">
        <v>6.5</v>
      </c>
      <c r="E62" s="36">
        <v>23.75</v>
      </c>
      <c r="F62" s="36">
        <v>0.5</v>
      </c>
      <c r="G62" s="36">
        <v>2.6</v>
      </c>
      <c r="H62" s="36">
        <v>25</v>
      </c>
      <c r="I62" s="36">
        <v>20</v>
      </c>
    </row>
    <row r="63" s="26" customFormat="1" ht="16.5" spans="1:9">
      <c r="A63" s="36" t="s">
        <v>116</v>
      </c>
      <c r="B63" s="36" t="s">
        <v>19</v>
      </c>
      <c r="C63" s="36" t="s">
        <v>117</v>
      </c>
      <c r="D63" s="36">
        <v>6.5</v>
      </c>
      <c r="E63" s="36">
        <v>20.75</v>
      </c>
      <c r="F63" s="36">
        <v>0.5</v>
      </c>
      <c r="G63" s="36">
        <v>2.6</v>
      </c>
      <c r="H63" s="36">
        <v>25</v>
      </c>
      <c r="I63" s="36">
        <v>20</v>
      </c>
    </row>
    <row r="64" s="26" customFormat="1" ht="16.5" spans="1:9">
      <c r="A64" s="36" t="s">
        <v>118</v>
      </c>
      <c r="B64" s="36" t="s">
        <v>119</v>
      </c>
      <c r="C64" s="36" t="s">
        <v>120</v>
      </c>
      <c r="D64" s="36">
        <v>6.5</v>
      </c>
      <c r="E64" s="36">
        <v>5.7</v>
      </c>
      <c r="F64" s="36">
        <v>0.5</v>
      </c>
      <c r="G64" s="36">
        <v>2.6</v>
      </c>
      <c r="H64" s="36">
        <v>25</v>
      </c>
      <c r="I64" s="36">
        <v>20</v>
      </c>
    </row>
    <row r="65" s="26" customFormat="1" ht="16.5" spans="1:9">
      <c r="A65" s="36" t="s">
        <v>121</v>
      </c>
      <c r="B65" s="36" t="s">
        <v>19</v>
      </c>
      <c r="C65" s="36" t="s">
        <v>122</v>
      </c>
      <c r="D65" s="36">
        <v>6.5</v>
      </c>
      <c r="E65" s="36">
        <v>15.75</v>
      </c>
      <c r="F65" s="36">
        <v>0.5</v>
      </c>
      <c r="G65" s="36">
        <v>2.6</v>
      </c>
      <c r="H65" s="36">
        <v>25</v>
      </c>
      <c r="I65" s="36">
        <v>20</v>
      </c>
    </row>
    <row r="66" s="28" customFormat="1" ht="16.5" spans="1:9">
      <c r="A66" s="10" t="s">
        <v>123</v>
      </c>
      <c r="B66" s="10" t="s">
        <v>19</v>
      </c>
      <c r="C66" s="10" t="s">
        <v>124</v>
      </c>
      <c r="D66" s="10">
        <v>6.5</v>
      </c>
      <c r="E66" s="10">
        <v>14.25</v>
      </c>
      <c r="F66" s="10">
        <v>0.5</v>
      </c>
      <c r="G66" s="10">
        <v>2.6</v>
      </c>
      <c r="H66" s="10">
        <v>25</v>
      </c>
      <c r="I66" s="10">
        <v>20</v>
      </c>
    </row>
    <row r="67" s="28" customFormat="1" ht="16.5" spans="1:9">
      <c r="A67" s="10" t="s">
        <v>125</v>
      </c>
      <c r="B67" s="10" t="s">
        <v>19</v>
      </c>
      <c r="C67" s="10" t="s">
        <v>126</v>
      </c>
      <c r="D67" s="10">
        <v>6.5</v>
      </c>
      <c r="E67" s="10">
        <v>12.55</v>
      </c>
      <c r="F67" s="10">
        <v>0.5</v>
      </c>
      <c r="G67" s="10">
        <v>2.6</v>
      </c>
      <c r="H67" s="10">
        <v>25</v>
      </c>
      <c r="I67" s="10">
        <v>20</v>
      </c>
    </row>
    <row r="68" s="23" customFormat="1" ht="16.5" spans="1:9">
      <c r="A68" s="33" t="s">
        <v>127</v>
      </c>
      <c r="B68" s="33" t="s">
        <v>43</v>
      </c>
      <c r="C68" s="33" t="s">
        <v>128</v>
      </c>
      <c r="D68" s="33">
        <v>6.5</v>
      </c>
      <c r="E68" s="33">
        <v>11.65</v>
      </c>
      <c r="F68" s="33">
        <v>0.5</v>
      </c>
      <c r="G68" s="33">
        <v>2.6</v>
      </c>
      <c r="H68" s="33">
        <v>25</v>
      </c>
      <c r="I68" s="33">
        <v>20</v>
      </c>
    </row>
    <row r="69" s="23" customFormat="1" ht="16.5" spans="1:9">
      <c r="A69" s="33" t="s">
        <v>129</v>
      </c>
      <c r="B69" s="33" t="s">
        <v>19</v>
      </c>
      <c r="C69" s="33" t="s">
        <v>128</v>
      </c>
      <c r="D69" s="33">
        <v>6.5</v>
      </c>
      <c r="E69" s="33">
        <v>10.75</v>
      </c>
      <c r="F69" s="33">
        <v>0.5</v>
      </c>
      <c r="G69" s="33">
        <v>2.6</v>
      </c>
      <c r="H69" s="33">
        <v>25</v>
      </c>
      <c r="I69" s="33">
        <v>20</v>
      </c>
    </row>
    <row r="70" s="28" customFormat="1" ht="16.5" spans="1:9">
      <c r="A70" s="10" t="s">
        <v>130</v>
      </c>
      <c r="B70" s="10" t="s">
        <v>38</v>
      </c>
      <c r="C70" s="10" t="s">
        <v>131</v>
      </c>
      <c r="D70" s="10">
        <v>6.5</v>
      </c>
      <c r="E70" s="10">
        <v>18.3</v>
      </c>
      <c r="F70" s="10">
        <v>0.5</v>
      </c>
      <c r="G70" s="10">
        <v>2.7</v>
      </c>
      <c r="H70" s="10">
        <v>25</v>
      </c>
      <c r="I70" s="10">
        <v>20</v>
      </c>
    </row>
    <row r="71" s="28" customFormat="1" ht="16.5" spans="1:9">
      <c r="A71" s="10" t="s">
        <v>132</v>
      </c>
      <c r="B71" s="10" t="s">
        <v>43</v>
      </c>
      <c r="C71" s="10" t="s">
        <v>133</v>
      </c>
      <c r="D71" s="10">
        <v>6.5</v>
      </c>
      <c r="E71" s="10">
        <v>13.75</v>
      </c>
      <c r="F71" s="10">
        <v>0.5</v>
      </c>
      <c r="G71" s="10">
        <v>2.7</v>
      </c>
      <c r="H71" s="10">
        <v>25</v>
      </c>
      <c r="I71" s="10">
        <v>20</v>
      </c>
    </row>
    <row r="72" s="28" customFormat="1" ht="16.5" spans="1:9">
      <c r="A72" s="10" t="s">
        <v>134</v>
      </c>
      <c r="B72" s="10" t="s">
        <v>135</v>
      </c>
      <c r="C72" s="10" t="s">
        <v>136</v>
      </c>
      <c r="D72" s="10">
        <v>8</v>
      </c>
      <c r="E72" s="10">
        <v>11.9</v>
      </c>
      <c r="F72" s="10">
        <v>0.6</v>
      </c>
      <c r="G72" s="10">
        <v>3.5</v>
      </c>
      <c r="H72" s="10">
        <v>25</v>
      </c>
      <c r="I72" s="10">
        <v>20</v>
      </c>
    </row>
    <row r="73" s="28" customFormat="1" ht="16.5" spans="1:9">
      <c r="A73" s="10" t="s">
        <v>137</v>
      </c>
      <c r="B73" s="10" t="s">
        <v>19</v>
      </c>
      <c r="C73" s="10" t="s">
        <v>138</v>
      </c>
      <c r="D73" s="10">
        <v>8</v>
      </c>
      <c r="E73" s="10">
        <v>22.9</v>
      </c>
      <c r="F73" s="10">
        <v>0.5</v>
      </c>
      <c r="G73" s="10">
        <v>3.6</v>
      </c>
      <c r="H73" s="10">
        <v>25</v>
      </c>
      <c r="I73" s="10">
        <v>20</v>
      </c>
    </row>
    <row r="74" ht="16.5" spans="1:9">
      <c r="A74" s="10" t="s">
        <v>139</v>
      </c>
      <c r="B74" s="10" t="s">
        <v>38</v>
      </c>
      <c r="C74" s="10" t="s">
        <v>140</v>
      </c>
      <c r="D74" s="10">
        <v>8</v>
      </c>
      <c r="E74" s="10">
        <v>31.7</v>
      </c>
      <c r="F74" s="10"/>
      <c r="G74" s="10">
        <v>3.7</v>
      </c>
      <c r="H74" s="10">
        <v>25</v>
      </c>
      <c r="I74" s="10">
        <v>20</v>
      </c>
    </row>
    <row r="75" s="23" customFormat="1" ht="16.5" spans="1:9">
      <c r="A75" s="33" t="s">
        <v>141</v>
      </c>
      <c r="B75" s="33" t="s">
        <v>61</v>
      </c>
      <c r="C75" s="33" t="s">
        <v>142</v>
      </c>
      <c r="D75" s="33">
        <v>8</v>
      </c>
      <c r="E75" s="33">
        <v>10.1</v>
      </c>
      <c r="F75" s="33">
        <v>0.6</v>
      </c>
      <c r="G75" s="33">
        <v>3.8</v>
      </c>
      <c r="H75" s="33">
        <v>25</v>
      </c>
      <c r="I75" s="33">
        <v>20</v>
      </c>
    </row>
    <row r="76" s="23" customFormat="1" ht="16.5" spans="1:9">
      <c r="A76" s="33" t="s">
        <v>143</v>
      </c>
      <c r="B76" s="33" t="s">
        <v>97</v>
      </c>
      <c r="C76" s="33" t="s">
        <v>142</v>
      </c>
      <c r="D76" s="33">
        <v>8</v>
      </c>
      <c r="E76" s="33">
        <v>9.5</v>
      </c>
      <c r="F76" s="33">
        <v>0.6</v>
      </c>
      <c r="G76" s="33">
        <v>3.8</v>
      </c>
      <c r="H76" s="33">
        <v>25</v>
      </c>
      <c r="I76" s="33">
        <v>20</v>
      </c>
    </row>
    <row r="77" s="28" customFormat="1" ht="16.5" spans="1:9">
      <c r="A77" s="10" t="s">
        <v>144</v>
      </c>
      <c r="B77" s="10" t="s">
        <v>43</v>
      </c>
      <c r="C77" s="10" t="s">
        <v>145</v>
      </c>
      <c r="D77" s="10">
        <v>8</v>
      </c>
      <c r="E77" s="10">
        <v>20.2</v>
      </c>
      <c r="F77" s="10">
        <v>0.6</v>
      </c>
      <c r="G77" s="10">
        <v>3.8</v>
      </c>
      <c r="H77" s="10">
        <v>25</v>
      </c>
      <c r="I77" s="10">
        <v>20</v>
      </c>
    </row>
    <row r="78" s="28" customFormat="1" ht="16.5" spans="1:9">
      <c r="A78" s="10" t="s">
        <v>146</v>
      </c>
      <c r="B78" s="10" t="s">
        <v>119</v>
      </c>
      <c r="C78" s="10" t="s">
        <v>147</v>
      </c>
      <c r="D78" s="10">
        <v>8</v>
      </c>
      <c r="E78" s="10">
        <v>10.1</v>
      </c>
      <c r="F78" s="10">
        <v>0.6</v>
      </c>
      <c r="G78" s="10">
        <v>3.8</v>
      </c>
      <c r="H78" s="10">
        <v>25</v>
      </c>
      <c r="I78" s="10">
        <v>20</v>
      </c>
    </row>
    <row r="79" s="28" customFormat="1" ht="16.5" spans="1:9">
      <c r="A79" s="10" t="s">
        <v>148</v>
      </c>
      <c r="B79" s="10" t="s">
        <v>19</v>
      </c>
      <c r="C79" s="10" t="s">
        <v>149</v>
      </c>
      <c r="D79" s="10">
        <v>8.2</v>
      </c>
      <c r="E79" s="10">
        <v>16.6</v>
      </c>
      <c r="F79" s="10">
        <v>0.5</v>
      </c>
      <c r="G79" s="10">
        <v>2.65</v>
      </c>
      <c r="H79" s="10">
        <v>25</v>
      </c>
      <c r="I79" s="10">
        <v>20</v>
      </c>
    </row>
    <row r="80" s="28" customFormat="1" ht="16.5" spans="1:9">
      <c r="A80" s="10" t="s">
        <v>150</v>
      </c>
      <c r="B80" s="10" t="s">
        <v>19</v>
      </c>
      <c r="C80" s="10" t="s">
        <v>145</v>
      </c>
      <c r="D80" s="10">
        <v>8.2</v>
      </c>
      <c r="E80" s="10">
        <v>20.9</v>
      </c>
      <c r="F80" s="10">
        <v>0.5</v>
      </c>
      <c r="G80" s="10">
        <v>3.6</v>
      </c>
      <c r="H80" s="10">
        <v>25</v>
      </c>
      <c r="I80" s="10">
        <v>20</v>
      </c>
    </row>
    <row r="81" s="28" customFormat="1" ht="16.5" spans="1:9">
      <c r="A81" s="10" t="s">
        <v>151</v>
      </c>
      <c r="B81" s="10" t="s">
        <v>19</v>
      </c>
      <c r="C81" s="10" t="s">
        <v>142</v>
      </c>
      <c r="D81" s="10">
        <v>8.2</v>
      </c>
      <c r="E81" s="10">
        <v>9.5</v>
      </c>
      <c r="F81" s="10">
        <v>0.6</v>
      </c>
      <c r="G81" s="10">
        <v>3.65</v>
      </c>
      <c r="H81" s="10">
        <v>25</v>
      </c>
      <c r="I81" s="10">
        <v>20</v>
      </c>
    </row>
    <row r="82" s="28" customFormat="1" ht="16.5" spans="1:9">
      <c r="A82" s="10" t="s">
        <v>152</v>
      </c>
      <c r="B82" s="10" t="s">
        <v>43</v>
      </c>
      <c r="C82" s="10" t="s">
        <v>142</v>
      </c>
      <c r="D82" s="10">
        <v>8.2</v>
      </c>
      <c r="E82" s="10">
        <v>9.4</v>
      </c>
      <c r="F82" s="10">
        <v>0.6</v>
      </c>
      <c r="G82" s="10">
        <v>3.65</v>
      </c>
      <c r="H82" s="10">
        <v>25</v>
      </c>
      <c r="I82" s="10">
        <v>20</v>
      </c>
    </row>
    <row r="83" s="28" customFormat="1" ht="16.5" spans="1:9">
      <c r="A83" s="10" t="s">
        <v>153</v>
      </c>
      <c r="B83" s="10" t="s">
        <v>19</v>
      </c>
      <c r="C83" s="10" t="s">
        <v>154</v>
      </c>
      <c r="D83" s="10">
        <v>8.2</v>
      </c>
      <c r="E83" s="10">
        <v>8.5</v>
      </c>
      <c r="F83" s="10">
        <v>0.6</v>
      </c>
      <c r="G83" s="10">
        <v>3.65</v>
      </c>
      <c r="H83" s="10">
        <v>25</v>
      </c>
      <c r="I83" s="10">
        <v>20</v>
      </c>
    </row>
    <row r="84" s="23" customFormat="1" ht="16.5" spans="1:9">
      <c r="A84" s="33" t="s">
        <v>155</v>
      </c>
      <c r="B84" s="33" t="s">
        <v>19</v>
      </c>
      <c r="C84" s="33" t="s">
        <v>156</v>
      </c>
      <c r="D84" s="33">
        <v>8.2</v>
      </c>
      <c r="E84" s="33">
        <v>7.5</v>
      </c>
      <c r="F84" s="33">
        <v>0.6</v>
      </c>
      <c r="G84" s="33">
        <v>3.65</v>
      </c>
      <c r="H84" s="33">
        <v>25</v>
      </c>
      <c r="I84" s="33">
        <v>20</v>
      </c>
    </row>
    <row r="85" s="28" customFormat="1" ht="16.5" spans="1:9">
      <c r="A85" s="10" t="s">
        <v>157</v>
      </c>
      <c r="B85" s="10" t="s">
        <v>38</v>
      </c>
      <c r="C85" s="10" t="s">
        <v>158</v>
      </c>
      <c r="D85" s="10">
        <v>8.2</v>
      </c>
      <c r="E85" s="10">
        <v>6</v>
      </c>
      <c r="F85" s="10">
        <v>0.6</v>
      </c>
      <c r="G85" s="10">
        <v>3.65</v>
      </c>
      <c r="H85" s="10">
        <v>25</v>
      </c>
      <c r="I85" s="10">
        <v>20</v>
      </c>
    </row>
    <row r="86" s="28" customFormat="1" ht="16.5" spans="1:9">
      <c r="A86" s="10" t="s">
        <v>159</v>
      </c>
      <c r="B86" s="10" t="s">
        <v>19</v>
      </c>
      <c r="C86" s="10" t="s">
        <v>160</v>
      </c>
      <c r="D86" s="10">
        <v>8.2</v>
      </c>
      <c r="E86" s="10">
        <v>6</v>
      </c>
      <c r="F86" s="10">
        <v>0.6</v>
      </c>
      <c r="G86" s="10">
        <v>3.65</v>
      </c>
      <c r="H86" s="10">
        <v>25</v>
      </c>
      <c r="I86" s="10">
        <v>20</v>
      </c>
    </row>
    <row r="87" s="28" customFormat="1" ht="16.5" spans="1:9">
      <c r="A87" s="10" t="s">
        <v>161</v>
      </c>
      <c r="B87" s="10" t="s">
        <v>38</v>
      </c>
      <c r="C87" s="10" t="s">
        <v>160</v>
      </c>
      <c r="D87" s="10">
        <v>8.2</v>
      </c>
      <c r="E87" s="10">
        <v>7.5</v>
      </c>
      <c r="F87" s="10">
        <v>0.6</v>
      </c>
      <c r="G87" s="10">
        <v>3.65</v>
      </c>
      <c r="H87" s="10">
        <v>25</v>
      </c>
      <c r="I87" s="10">
        <v>20</v>
      </c>
    </row>
    <row r="88" s="28" customFormat="1" ht="16.5" spans="1:9">
      <c r="A88" s="10" t="s">
        <v>162</v>
      </c>
      <c r="B88" s="10" t="s">
        <v>19</v>
      </c>
      <c r="C88" s="10" t="s">
        <v>163</v>
      </c>
      <c r="D88" s="10">
        <v>8.2</v>
      </c>
      <c r="E88" s="10">
        <v>18.4</v>
      </c>
      <c r="F88" s="10">
        <v>0.6</v>
      </c>
      <c r="G88" s="10">
        <v>3.65</v>
      </c>
      <c r="H88" s="10">
        <v>25</v>
      </c>
      <c r="I88" s="10">
        <v>20</v>
      </c>
    </row>
    <row r="89" s="28" customFormat="1" ht="16.5" spans="1:9">
      <c r="A89" s="10" t="s">
        <v>164</v>
      </c>
      <c r="B89" s="10" t="s">
        <v>43</v>
      </c>
      <c r="C89" s="10" t="s">
        <v>163</v>
      </c>
      <c r="D89" s="10">
        <v>8.2</v>
      </c>
      <c r="E89" s="10">
        <v>18.9</v>
      </c>
      <c r="F89" s="10">
        <v>0.6</v>
      </c>
      <c r="G89" s="10">
        <v>3.65</v>
      </c>
      <c r="H89" s="10">
        <v>25</v>
      </c>
      <c r="I89" s="10">
        <v>20</v>
      </c>
    </row>
    <row r="90" s="23" customFormat="1" ht="16.5" spans="1:9">
      <c r="A90" s="33" t="s">
        <v>165</v>
      </c>
      <c r="B90" s="33" t="s">
        <v>19</v>
      </c>
      <c r="C90" s="33" t="s">
        <v>166</v>
      </c>
      <c r="D90" s="33">
        <v>8.2</v>
      </c>
      <c r="E90" s="33">
        <v>14.5</v>
      </c>
      <c r="F90" s="33">
        <v>0.6</v>
      </c>
      <c r="G90" s="33">
        <v>3.65</v>
      </c>
      <c r="H90" s="33">
        <v>25</v>
      </c>
      <c r="I90" s="33">
        <v>20</v>
      </c>
    </row>
    <row r="91" s="28" customFormat="1" ht="16.5" spans="1:9">
      <c r="A91" s="10" t="s">
        <v>167</v>
      </c>
      <c r="B91" s="10" t="s">
        <v>61</v>
      </c>
      <c r="C91" s="10" t="s">
        <v>168</v>
      </c>
      <c r="D91" s="10">
        <v>8.2</v>
      </c>
      <c r="E91" s="10">
        <v>12.9</v>
      </c>
      <c r="F91" s="10">
        <v>0.6</v>
      </c>
      <c r="G91" s="10">
        <v>3.65</v>
      </c>
      <c r="H91" s="10">
        <v>25</v>
      </c>
      <c r="I91" s="10">
        <v>20</v>
      </c>
    </row>
    <row r="92" s="23" customFormat="1" ht="16.5" spans="1:9">
      <c r="A92" s="33" t="s">
        <v>169</v>
      </c>
      <c r="B92" s="33" t="s">
        <v>43</v>
      </c>
      <c r="C92" s="33" t="s">
        <v>170</v>
      </c>
      <c r="D92" s="33">
        <v>8.2</v>
      </c>
      <c r="E92" s="33">
        <v>11.9</v>
      </c>
      <c r="F92" s="33">
        <v>0.6</v>
      </c>
      <c r="G92" s="33">
        <v>3.65</v>
      </c>
      <c r="H92" s="33">
        <v>25</v>
      </c>
      <c r="I92" s="33">
        <v>20</v>
      </c>
    </row>
    <row r="93" s="23" customFormat="1" ht="16.5" spans="1:9">
      <c r="A93" s="33" t="s">
        <v>171</v>
      </c>
      <c r="B93" s="33" t="s">
        <v>43</v>
      </c>
      <c r="C93" s="33" t="s">
        <v>170</v>
      </c>
      <c r="D93" s="33">
        <v>8.2</v>
      </c>
      <c r="E93" s="33">
        <v>12.9</v>
      </c>
      <c r="F93" s="33">
        <v>0.6</v>
      </c>
      <c r="G93" s="33">
        <v>3.65</v>
      </c>
      <c r="H93" s="33">
        <v>25</v>
      </c>
      <c r="I93" s="33">
        <v>20</v>
      </c>
    </row>
    <row r="94" s="23" customFormat="1" ht="16.5" spans="1:9">
      <c r="A94" s="33" t="s">
        <v>172</v>
      </c>
      <c r="B94" s="33" t="s">
        <v>173</v>
      </c>
      <c r="C94" s="33" t="s">
        <v>136</v>
      </c>
      <c r="D94" s="33">
        <v>8.2</v>
      </c>
      <c r="E94" s="33">
        <v>11.9</v>
      </c>
      <c r="F94" s="33">
        <v>0.6</v>
      </c>
      <c r="G94" s="33">
        <v>3.65</v>
      </c>
      <c r="H94" s="33">
        <v>25</v>
      </c>
      <c r="I94" s="33">
        <v>20</v>
      </c>
    </row>
    <row r="95" s="23" customFormat="1" ht="16.5" spans="1:9">
      <c r="A95" s="33" t="s">
        <v>174</v>
      </c>
      <c r="B95" s="33" t="s">
        <v>19</v>
      </c>
      <c r="C95" s="33" t="s">
        <v>175</v>
      </c>
      <c r="D95" s="33">
        <v>8.2</v>
      </c>
      <c r="E95" s="33">
        <v>11.9</v>
      </c>
      <c r="F95" s="33">
        <v>0.6</v>
      </c>
      <c r="G95" s="33">
        <v>3.65</v>
      </c>
      <c r="H95" s="33">
        <v>25</v>
      </c>
      <c r="I95" s="33">
        <v>20</v>
      </c>
    </row>
    <row r="96" s="23" customFormat="1" ht="16.5" spans="1:9">
      <c r="A96" s="33" t="s">
        <v>176</v>
      </c>
      <c r="B96" s="33" t="s">
        <v>19</v>
      </c>
      <c r="C96" s="33" t="s">
        <v>147</v>
      </c>
      <c r="D96" s="33">
        <v>8.2</v>
      </c>
      <c r="E96" s="33">
        <v>10.9</v>
      </c>
      <c r="F96" s="33">
        <v>0.6</v>
      </c>
      <c r="G96" s="33">
        <v>3.65</v>
      </c>
      <c r="H96" s="33">
        <v>25</v>
      </c>
      <c r="I96" s="33">
        <v>20</v>
      </c>
    </row>
    <row r="97" s="23" customFormat="1" ht="16.5" spans="1:9">
      <c r="A97" s="33" t="s">
        <v>177</v>
      </c>
      <c r="B97" s="33" t="s">
        <v>38</v>
      </c>
      <c r="C97" s="33" t="s">
        <v>147</v>
      </c>
      <c r="D97" s="33">
        <v>8.2</v>
      </c>
      <c r="E97" s="33">
        <v>9.5</v>
      </c>
      <c r="F97" s="33">
        <v>0.6</v>
      </c>
      <c r="G97" s="33">
        <v>3.65</v>
      </c>
      <c r="H97" s="33">
        <v>25</v>
      </c>
      <c r="I97" s="33">
        <v>20</v>
      </c>
    </row>
    <row r="98" s="23" customFormat="1" ht="16.5" spans="1:9">
      <c r="A98" s="33" t="s">
        <v>178</v>
      </c>
      <c r="B98" s="33" t="s">
        <v>43</v>
      </c>
      <c r="C98" s="33" t="s">
        <v>147</v>
      </c>
      <c r="D98" s="33">
        <v>8.2</v>
      </c>
      <c r="E98" s="33">
        <v>10.1</v>
      </c>
      <c r="F98" s="33">
        <v>0.6</v>
      </c>
      <c r="G98" s="33">
        <v>3.65</v>
      </c>
      <c r="H98" s="33">
        <v>25</v>
      </c>
      <c r="I98" s="33">
        <v>20</v>
      </c>
    </row>
    <row r="99" s="23" customFormat="1" ht="16.5" spans="1:9">
      <c r="A99" s="33" t="s">
        <v>179</v>
      </c>
      <c r="B99" s="33" t="s">
        <v>19</v>
      </c>
      <c r="C99" s="33" t="s">
        <v>149</v>
      </c>
      <c r="D99" s="33">
        <v>8.2</v>
      </c>
      <c r="E99" s="33">
        <v>16.6</v>
      </c>
      <c r="F99" s="33">
        <v>0.6</v>
      </c>
      <c r="G99" s="33">
        <v>3.8</v>
      </c>
      <c r="H99" s="33">
        <v>25</v>
      </c>
      <c r="I99" s="33">
        <v>20</v>
      </c>
    </row>
    <row r="100" s="23" customFormat="1" ht="16.5" spans="1:9">
      <c r="A100" s="33" t="s">
        <v>180</v>
      </c>
      <c r="B100" s="33" t="s">
        <v>119</v>
      </c>
      <c r="C100" s="33" t="s">
        <v>181</v>
      </c>
      <c r="D100" s="33">
        <v>10</v>
      </c>
      <c r="E100" s="33">
        <v>10.1</v>
      </c>
      <c r="F100" s="33">
        <v>0.6</v>
      </c>
      <c r="G100" s="33">
        <v>5.25</v>
      </c>
      <c r="H100" s="33">
        <v>25</v>
      </c>
      <c r="I100" s="33">
        <v>20</v>
      </c>
    </row>
    <row r="101" s="28" customFormat="1" ht="16.5" spans="1:9">
      <c r="A101" s="10" t="s">
        <v>182</v>
      </c>
      <c r="B101" s="10" t="s">
        <v>119</v>
      </c>
      <c r="C101" s="10" t="s">
        <v>183</v>
      </c>
      <c r="D101" s="10">
        <v>10</v>
      </c>
      <c r="E101" s="10">
        <v>8.05</v>
      </c>
      <c r="F101" s="10">
        <v>0.6</v>
      </c>
      <c r="G101" s="10">
        <v>5.25</v>
      </c>
      <c r="H101" s="10">
        <v>25</v>
      </c>
      <c r="I101" s="10">
        <v>20</v>
      </c>
    </row>
    <row r="102" s="28" customFormat="1" ht="16.5" spans="1:9">
      <c r="A102" s="10" t="s">
        <v>184</v>
      </c>
      <c r="B102" s="10" t="s">
        <v>38</v>
      </c>
      <c r="C102" s="10" t="s">
        <v>185</v>
      </c>
      <c r="D102" s="10">
        <v>10</v>
      </c>
      <c r="E102" s="10">
        <v>24.05</v>
      </c>
      <c r="F102" s="10">
        <v>0.6</v>
      </c>
      <c r="G102" s="10">
        <v>5.25</v>
      </c>
      <c r="H102" s="10">
        <v>25</v>
      </c>
      <c r="I102" s="10">
        <v>20</v>
      </c>
    </row>
    <row r="103" s="28" customFormat="1" ht="16.5" spans="1:9">
      <c r="A103" s="10" t="s">
        <v>186</v>
      </c>
      <c r="B103" s="10" t="s">
        <v>61</v>
      </c>
      <c r="C103" s="10" t="s">
        <v>187</v>
      </c>
      <c r="D103" s="10">
        <v>10</v>
      </c>
      <c r="E103" s="10">
        <v>20.15</v>
      </c>
      <c r="F103" s="10">
        <v>0.6</v>
      </c>
      <c r="G103" s="10">
        <v>5.25</v>
      </c>
      <c r="H103" s="10">
        <v>25</v>
      </c>
      <c r="I103" s="10">
        <v>20</v>
      </c>
    </row>
    <row r="104" s="28" customFormat="1" ht="16.5" spans="1:9">
      <c r="A104" s="10" t="s">
        <v>188</v>
      </c>
      <c r="B104" s="10" t="s">
        <v>19</v>
      </c>
      <c r="C104" s="10" t="s">
        <v>187</v>
      </c>
      <c r="D104" s="10">
        <v>10</v>
      </c>
      <c r="E104" s="10">
        <v>21.45</v>
      </c>
      <c r="F104" s="10">
        <v>0.6</v>
      </c>
      <c r="G104" s="10">
        <v>5.25</v>
      </c>
      <c r="H104" s="10">
        <v>25</v>
      </c>
      <c r="I104" s="10">
        <v>20</v>
      </c>
    </row>
    <row r="105" s="28" customFormat="1" ht="16.5" spans="1:9">
      <c r="A105" s="10" t="s">
        <v>189</v>
      </c>
      <c r="B105" s="10" t="s">
        <v>19</v>
      </c>
      <c r="C105" s="10" t="s">
        <v>190</v>
      </c>
      <c r="D105" s="10">
        <v>10</v>
      </c>
      <c r="E105" s="10">
        <v>17.45</v>
      </c>
      <c r="F105" s="10">
        <v>0.6</v>
      </c>
      <c r="G105" s="10">
        <v>5.25</v>
      </c>
      <c r="H105" s="10">
        <v>25</v>
      </c>
      <c r="I105" s="10">
        <v>20</v>
      </c>
    </row>
    <row r="106" s="28" customFormat="1" ht="16.5" spans="1:9">
      <c r="A106" s="10" t="s">
        <v>191</v>
      </c>
      <c r="B106" s="10" t="s">
        <v>19</v>
      </c>
      <c r="C106" s="10" t="s">
        <v>190</v>
      </c>
      <c r="D106" s="10">
        <v>10</v>
      </c>
      <c r="E106" s="10">
        <v>18.45</v>
      </c>
      <c r="F106" s="10">
        <v>0.6</v>
      </c>
      <c r="G106" s="10">
        <v>5.25</v>
      </c>
      <c r="H106" s="10">
        <v>25</v>
      </c>
      <c r="I106" s="10">
        <v>20</v>
      </c>
    </row>
    <row r="107" s="28" customFormat="1" ht="16.5" spans="1:9">
      <c r="A107" s="10" t="s">
        <v>192</v>
      </c>
      <c r="B107" s="10" t="s">
        <v>19</v>
      </c>
      <c r="C107" s="10" t="s">
        <v>193</v>
      </c>
      <c r="D107" s="10">
        <v>10</v>
      </c>
      <c r="E107" s="10">
        <v>16.45</v>
      </c>
      <c r="F107" s="10">
        <v>0.6</v>
      </c>
      <c r="G107" s="10">
        <v>5.25</v>
      </c>
      <c r="H107" s="10">
        <v>25</v>
      </c>
      <c r="I107" s="10">
        <v>20</v>
      </c>
    </row>
    <row r="108" s="28" customFormat="1" ht="16.5" spans="1:9">
      <c r="A108" s="10" t="s">
        <v>194</v>
      </c>
      <c r="B108" s="10" t="s">
        <v>19</v>
      </c>
      <c r="C108" s="10" t="s">
        <v>195</v>
      </c>
      <c r="D108" s="10">
        <v>10</v>
      </c>
      <c r="E108" s="10">
        <v>16.45</v>
      </c>
      <c r="F108" s="10">
        <v>0.6</v>
      </c>
      <c r="G108" s="10">
        <v>5.25</v>
      </c>
      <c r="H108" s="10">
        <v>25</v>
      </c>
      <c r="I108" s="10">
        <v>20</v>
      </c>
    </row>
    <row r="109" s="28" customFormat="1" ht="16.5" spans="1:9">
      <c r="A109" s="10" t="s">
        <v>196</v>
      </c>
      <c r="B109" s="10" t="s">
        <v>19</v>
      </c>
      <c r="C109" s="10" t="s">
        <v>197</v>
      </c>
      <c r="D109" s="10">
        <v>10</v>
      </c>
      <c r="E109" s="10">
        <v>14.95</v>
      </c>
      <c r="F109" s="10">
        <v>0.6</v>
      </c>
      <c r="G109" s="10">
        <v>5.25</v>
      </c>
      <c r="H109" s="10">
        <v>25</v>
      </c>
      <c r="I109" s="10">
        <v>20</v>
      </c>
    </row>
    <row r="110" s="28" customFormat="1" ht="16.5" spans="1:9">
      <c r="A110" s="10" t="s">
        <v>198</v>
      </c>
      <c r="B110" s="10" t="s">
        <v>19</v>
      </c>
      <c r="C110" s="10" t="s">
        <v>199</v>
      </c>
      <c r="D110" s="10">
        <v>10</v>
      </c>
      <c r="E110" s="10">
        <v>14.95</v>
      </c>
      <c r="F110" s="10">
        <v>0.6</v>
      </c>
      <c r="G110" s="10">
        <v>5.25</v>
      </c>
      <c r="H110" s="10">
        <v>25</v>
      </c>
      <c r="I110" s="10">
        <v>20</v>
      </c>
    </row>
    <row r="111" s="28" customFormat="1" ht="16.5" spans="1:9">
      <c r="A111" s="10" t="s">
        <v>200</v>
      </c>
      <c r="B111" s="10" t="s">
        <v>19</v>
      </c>
      <c r="C111" s="10" t="s">
        <v>201</v>
      </c>
      <c r="D111" s="10">
        <v>10</v>
      </c>
      <c r="E111" s="10">
        <v>12.7</v>
      </c>
      <c r="F111" s="10">
        <v>0.6</v>
      </c>
      <c r="G111" s="10">
        <v>5.25</v>
      </c>
      <c r="H111" s="10">
        <v>25</v>
      </c>
      <c r="I111" s="10">
        <v>20</v>
      </c>
    </row>
    <row r="112" s="28" customFormat="1" ht="16.5" spans="1:9">
      <c r="A112" s="10" t="s">
        <v>202</v>
      </c>
      <c r="B112" s="10" t="s">
        <v>19</v>
      </c>
      <c r="C112" s="10" t="s">
        <v>201</v>
      </c>
      <c r="D112" s="10">
        <v>10</v>
      </c>
      <c r="E112" s="10">
        <v>13.45</v>
      </c>
      <c r="F112" s="10">
        <v>0.6</v>
      </c>
      <c r="G112" s="10">
        <v>5.25</v>
      </c>
      <c r="H112" s="10">
        <v>25</v>
      </c>
      <c r="I112" s="10">
        <v>20</v>
      </c>
    </row>
    <row r="113" s="28" customFormat="1" ht="16.5" spans="1:9">
      <c r="A113" s="10" t="s">
        <v>203</v>
      </c>
      <c r="B113" s="10" t="s">
        <v>19</v>
      </c>
      <c r="C113" s="10" t="s">
        <v>204</v>
      </c>
      <c r="D113" s="10">
        <v>10</v>
      </c>
      <c r="E113" s="10">
        <v>12.7</v>
      </c>
      <c r="F113" s="10">
        <v>0.6</v>
      </c>
      <c r="G113" s="10">
        <v>5.25</v>
      </c>
      <c r="H113" s="10">
        <v>25</v>
      </c>
      <c r="I113" s="10">
        <v>20</v>
      </c>
    </row>
    <row r="114" s="23" customFormat="1" ht="16.5" spans="1:9">
      <c r="A114" s="33" t="s">
        <v>205</v>
      </c>
      <c r="B114" s="33" t="s">
        <v>43</v>
      </c>
      <c r="C114" s="33" t="s">
        <v>206</v>
      </c>
      <c r="D114" s="33">
        <v>10</v>
      </c>
      <c r="E114" s="33">
        <v>12.7</v>
      </c>
      <c r="F114" s="33">
        <v>0.6</v>
      </c>
      <c r="G114" s="33">
        <v>5.25</v>
      </c>
      <c r="H114" s="33">
        <v>25</v>
      </c>
      <c r="I114" s="33">
        <v>20</v>
      </c>
    </row>
    <row r="115" s="23" customFormat="1" ht="16.5" spans="1:9">
      <c r="A115" s="33" t="s">
        <v>207</v>
      </c>
      <c r="B115" s="33" t="s">
        <v>38</v>
      </c>
      <c r="C115" s="33" t="s">
        <v>206</v>
      </c>
      <c r="D115" s="33">
        <v>10</v>
      </c>
      <c r="E115" s="33">
        <v>12.15</v>
      </c>
      <c r="F115" s="33">
        <v>0.6</v>
      </c>
      <c r="G115" s="33">
        <v>5.25</v>
      </c>
      <c r="H115" s="33">
        <v>25</v>
      </c>
      <c r="I115" s="33">
        <v>20</v>
      </c>
    </row>
    <row r="116" s="23" customFormat="1" ht="16.5" spans="1:9">
      <c r="A116" s="33" t="s">
        <v>208</v>
      </c>
      <c r="B116" s="33" t="s">
        <v>38</v>
      </c>
      <c r="C116" s="33" t="s">
        <v>206</v>
      </c>
      <c r="D116" s="33">
        <v>10</v>
      </c>
      <c r="E116" s="33">
        <v>12.65</v>
      </c>
      <c r="F116" s="33">
        <v>0.6</v>
      </c>
      <c r="G116" s="33">
        <v>5.25</v>
      </c>
      <c r="H116" s="33">
        <v>25</v>
      </c>
      <c r="I116" s="33">
        <v>20</v>
      </c>
    </row>
    <row r="117" s="28" customFormat="1" ht="16.5" spans="1:9">
      <c r="A117" s="10" t="s">
        <v>209</v>
      </c>
      <c r="B117" s="10" t="s">
        <v>19</v>
      </c>
      <c r="C117" s="10" t="s">
        <v>210</v>
      </c>
      <c r="D117" s="10">
        <v>10</v>
      </c>
      <c r="E117" s="10">
        <v>10.1</v>
      </c>
      <c r="F117" s="10">
        <v>0.6</v>
      </c>
      <c r="G117" s="10">
        <v>5.25</v>
      </c>
      <c r="H117" s="10">
        <v>25</v>
      </c>
      <c r="I117" s="10">
        <v>20</v>
      </c>
    </row>
    <row r="118" s="28" customFormat="1" ht="16.5" spans="1:9">
      <c r="A118" s="10" t="s">
        <v>211</v>
      </c>
      <c r="B118" s="10" t="s">
        <v>19</v>
      </c>
      <c r="C118" s="10" t="s">
        <v>212</v>
      </c>
      <c r="D118" s="10">
        <v>10</v>
      </c>
      <c r="E118" s="10">
        <v>10.1</v>
      </c>
      <c r="F118" s="10">
        <v>0.6</v>
      </c>
      <c r="G118" s="10">
        <v>5.25</v>
      </c>
      <c r="H118" s="10">
        <v>25</v>
      </c>
      <c r="I118" s="10">
        <v>20</v>
      </c>
    </row>
    <row r="119" s="28" customFormat="1" ht="16.5" spans="1:9">
      <c r="A119" s="10" t="s">
        <v>213</v>
      </c>
      <c r="B119" s="10" t="s">
        <v>19</v>
      </c>
      <c r="C119" s="10" t="s">
        <v>214</v>
      </c>
      <c r="D119" s="10">
        <v>10</v>
      </c>
      <c r="E119" s="10">
        <v>7.65</v>
      </c>
      <c r="F119" s="10">
        <v>0.6</v>
      </c>
      <c r="G119" s="10">
        <v>5.3</v>
      </c>
      <c r="H119" s="10">
        <v>25</v>
      </c>
      <c r="I119" s="10">
        <v>20</v>
      </c>
    </row>
    <row r="120" s="28" customFormat="1" ht="16.5" spans="1:9">
      <c r="A120" s="10" t="s">
        <v>215</v>
      </c>
      <c r="B120" s="10" t="s">
        <v>19</v>
      </c>
      <c r="C120" s="10" t="s">
        <v>216</v>
      </c>
      <c r="D120" s="10">
        <v>10</v>
      </c>
      <c r="E120" s="10">
        <v>6.15</v>
      </c>
      <c r="F120" s="10">
        <v>0.6</v>
      </c>
      <c r="G120" s="10">
        <v>5.3</v>
      </c>
      <c r="H120" s="10">
        <v>25</v>
      </c>
      <c r="I120" s="10">
        <v>20</v>
      </c>
    </row>
    <row r="121" s="28" customFormat="1" ht="16.5" spans="1:9">
      <c r="A121" s="10" t="s">
        <v>217</v>
      </c>
      <c r="B121" s="10" t="s">
        <v>19</v>
      </c>
      <c r="C121" s="10" t="s">
        <v>218</v>
      </c>
      <c r="D121" s="10">
        <v>10</v>
      </c>
      <c r="E121" s="10">
        <v>30.95</v>
      </c>
      <c r="F121" s="10">
        <v>0.6</v>
      </c>
      <c r="G121" s="10">
        <v>5.3</v>
      </c>
      <c r="H121" s="10">
        <v>25</v>
      </c>
      <c r="I121" s="10">
        <v>20</v>
      </c>
    </row>
    <row r="122" s="28" customFormat="1" ht="16.5" spans="1:9">
      <c r="A122" s="10" t="s">
        <v>219</v>
      </c>
      <c r="B122" s="10" t="s">
        <v>43</v>
      </c>
      <c r="C122" s="10" t="s">
        <v>220</v>
      </c>
      <c r="D122" s="10">
        <v>10</v>
      </c>
      <c r="E122" s="10">
        <v>25.45</v>
      </c>
      <c r="F122" s="10">
        <v>0.6</v>
      </c>
      <c r="G122" s="10">
        <v>5.3</v>
      </c>
      <c r="H122" s="10">
        <v>25</v>
      </c>
      <c r="I122" s="10">
        <v>20</v>
      </c>
    </row>
    <row r="123" s="28" customFormat="1" ht="16.5" spans="1:9">
      <c r="A123" s="10" t="s">
        <v>221</v>
      </c>
      <c r="B123" s="10" t="s">
        <v>19</v>
      </c>
      <c r="C123" s="10" t="s">
        <v>222</v>
      </c>
      <c r="D123" s="10">
        <v>10</v>
      </c>
      <c r="E123" s="10">
        <v>20.15</v>
      </c>
      <c r="F123" s="10">
        <v>0.6</v>
      </c>
      <c r="G123" s="10">
        <v>5.3</v>
      </c>
      <c r="H123" s="10">
        <v>25</v>
      </c>
      <c r="I123" s="10">
        <v>20</v>
      </c>
    </row>
    <row r="124" s="28" customFormat="1" ht="16.5" spans="1:9">
      <c r="A124" s="10" t="s">
        <v>223</v>
      </c>
      <c r="B124" s="10" t="s">
        <v>19</v>
      </c>
      <c r="C124" s="10" t="s">
        <v>224</v>
      </c>
      <c r="D124" s="10">
        <v>12.5</v>
      </c>
      <c r="E124" s="10">
        <v>51.2</v>
      </c>
      <c r="F124" s="10">
        <v>0.6</v>
      </c>
      <c r="G124" s="10">
        <v>5.3</v>
      </c>
      <c r="H124" s="10">
        <v>25</v>
      </c>
      <c r="I124" s="10">
        <v>20</v>
      </c>
    </row>
    <row r="125" s="28" customFormat="1" ht="16.5" spans="1:9">
      <c r="A125" s="10" t="s">
        <v>225</v>
      </c>
      <c r="B125" s="10" t="s">
        <v>19</v>
      </c>
      <c r="C125" s="10" t="s">
        <v>226</v>
      </c>
      <c r="D125" s="10">
        <v>12.5</v>
      </c>
      <c r="E125" s="10">
        <v>35.2</v>
      </c>
      <c r="F125" s="10">
        <v>0.6</v>
      </c>
      <c r="G125" s="10">
        <v>5.3</v>
      </c>
      <c r="H125" s="10">
        <v>25</v>
      </c>
      <c r="I125" s="10">
        <v>20</v>
      </c>
    </row>
    <row r="126" s="28" customFormat="1" ht="16.5" spans="1:9">
      <c r="A126" s="10" t="s">
        <v>227</v>
      </c>
      <c r="B126" s="10" t="s">
        <v>19</v>
      </c>
      <c r="C126" s="10" t="s">
        <v>228</v>
      </c>
      <c r="D126" s="10">
        <v>12.5</v>
      </c>
      <c r="E126" s="10">
        <v>31.3</v>
      </c>
      <c r="F126" s="10">
        <v>0.6</v>
      </c>
      <c r="G126" s="10">
        <v>5.3</v>
      </c>
      <c r="H126" s="10">
        <v>25</v>
      </c>
      <c r="I126" s="10">
        <v>20</v>
      </c>
    </row>
    <row r="127" s="28" customFormat="1" ht="16.5" spans="1:9">
      <c r="A127" s="10" t="s">
        <v>229</v>
      </c>
      <c r="B127" s="10" t="s">
        <v>19</v>
      </c>
      <c r="C127" s="10" t="s">
        <v>230</v>
      </c>
      <c r="D127" s="10">
        <v>12.5</v>
      </c>
      <c r="E127" s="10">
        <v>25.7</v>
      </c>
      <c r="F127" s="10">
        <v>0.6</v>
      </c>
      <c r="G127" s="10">
        <v>5.3</v>
      </c>
      <c r="H127" s="10">
        <v>25</v>
      </c>
      <c r="I127" s="10">
        <v>20</v>
      </c>
    </row>
    <row r="128" s="28" customFormat="1" ht="16.5" spans="1:9">
      <c r="A128" s="10" t="s">
        <v>231</v>
      </c>
      <c r="B128" s="10" t="s">
        <v>19</v>
      </c>
      <c r="C128" s="10" t="s">
        <v>232</v>
      </c>
      <c r="D128" s="10">
        <v>12.5</v>
      </c>
      <c r="E128" s="10">
        <v>22.6</v>
      </c>
      <c r="F128" s="10">
        <v>0.6</v>
      </c>
      <c r="G128" s="10">
        <v>5.3</v>
      </c>
      <c r="H128" s="10">
        <v>25</v>
      </c>
      <c r="I128" s="10">
        <v>20</v>
      </c>
    </row>
    <row r="129" s="28" customFormat="1" ht="16.5" spans="1:9">
      <c r="A129" s="10" t="s">
        <v>233</v>
      </c>
      <c r="B129" s="10" t="s">
        <v>19</v>
      </c>
      <c r="C129" s="10" t="s">
        <v>234</v>
      </c>
      <c r="D129" s="10">
        <v>12.5</v>
      </c>
      <c r="E129" s="10">
        <v>20.5</v>
      </c>
      <c r="F129" s="10">
        <v>0.6</v>
      </c>
      <c r="G129" s="10">
        <v>5.3</v>
      </c>
      <c r="H129" s="10">
        <v>25</v>
      </c>
      <c r="I129" s="10">
        <v>20</v>
      </c>
    </row>
    <row r="130" s="28" customFormat="1" ht="16.5" spans="1:9">
      <c r="A130" s="10" t="s">
        <v>235</v>
      </c>
      <c r="B130" s="10" t="s">
        <v>19</v>
      </c>
      <c r="C130" s="10" t="s">
        <v>236</v>
      </c>
      <c r="D130" s="10">
        <v>12.5</v>
      </c>
      <c r="E130" s="10">
        <v>20.5</v>
      </c>
      <c r="F130" s="10">
        <v>0.6</v>
      </c>
      <c r="G130" s="10">
        <v>5.3</v>
      </c>
      <c r="H130" s="10">
        <v>25</v>
      </c>
      <c r="I130" s="10">
        <v>20</v>
      </c>
    </row>
    <row r="131" s="28" customFormat="1" ht="16.5" spans="1:9">
      <c r="A131" s="10" t="s">
        <v>237</v>
      </c>
      <c r="B131" s="10" t="s">
        <v>19</v>
      </c>
      <c r="C131" s="10" t="s">
        <v>238</v>
      </c>
      <c r="D131" s="10">
        <v>12.5</v>
      </c>
      <c r="E131" s="10">
        <v>18.5</v>
      </c>
      <c r="F131" s="10">
        <v>0.6</v>
      </c>
      <c r="G131" s="10">
        <v>5.3</v>
      </c>
      <c r="H131" s="10">
        <v>25</v>
      </c>
      <c r="I131" s="10">
        <v>20</v>
      </c>
    </row>
    <row r="132" s="28" customFormat="1" ht="16.5" spans="1:9">
      <c r="A132" s="10" t="s">
        <v>239</v>
      </c>
      <c r="B132" s="10" t="s">
        <v>19</v>
      </c>
      <c r="C132" s="10" t="s">
        <v>240</v>
      </c>
      <c r="D132" s="10">
        <v>12.5</v>
      </c>
      <c r="E132" s="10">
        <v>16.2</v>
      </c>
      <c r="F132" s="10">
        <v>0.6</v>
      </c>
      <c r="G132" s="10">
        <v>5.3</v>
      </c>
      <c r="H132" s="10">
        <v>25</v>
      </c>
      <c r="I132" s="10">
        <v>20</v>
      </c>
    </row>
    <row r="133" s="28" customFormat="1" ht="16.5" spans="1:9">
      <c r="A133" s="10" t="s">
        <v>241</v>
      </c>
      <c r="B133" s="10" t="s">
        <v>19</v>
      </c>
      <c r="C133" s="10" t="s">
        <v>242</v>
      </c>
      <c r="D133" s="10">
        <v>12.5</v>
      </c>
      <c r="E133" s="10">
        <v>13.5</v>
      </c>
      <c r="F133" s="10">
        <v>0.6</v>
      </c>
      <c r="G133" s="10">
        <v>5.3</v>
      </c>
      <c r="H133" s="10">
        <v>25</v>
      </c>
      <c r="I133" s="10">
        <v>20</v>
      </c>
    </row>
    <row r="134" s="28" customFormat="1" ht="16.5" spans="1:9">
      <c r="A134" s="10" t="s">
        <v>243</v>
      </c>
      <c r="B134" s="10" t="s">
        <v>19</v>
      </c>
      <c r="C134" s="10" t="s">
        <v>244</v>
      </c>
      <c r="D134" s="10">
        <v>12.5</v>
      </c>
      <c r="E134" s="10">
        <v>12.5</v>
      </c>
      <c r="F134" s="10">
        <v>0.6</v>
      </c>
      <c r="G134" s="10">
        <v>5.3</v>
      </c>
      <c r="H134" s="10">
        <v>25</v>
      </c>
      <c r="I134" s="10">
        <v>20</v>
      </c>
    </row>
    <row r="135" s="28" customFormat="1" ht="16.5" spans="1:9">
      <c r="A135" s="10" t="s">
        <v>245</v>
      </c>
      <c r="B135" s="10" t="s">
        <v>135</v>
      </c>
      <c r="C135" s="10" t="s">
        <v>244</v>
      </c>
      <c r="D135" s="10">
        <v>12.5</v>
      </c>
      <c r="E135" s="10">
        <v>13.2</v>
      </c>
      <c r="F135" s="10">
        <v>0.6</v>
      </c>
      <c r="G135" s="10">
        <v>5.3</v>
      </c>
      <c r="H135" s="10">
        <v>25</v>
      </c>
      <c r="I135" s="10">
        <v>20</v>
      </c>
    </row>
    <row r="136" s="28" customFormat="1" ht="16.5" spans="1:9">
      <c r="A136" s="10" t="s">
        <v>246</v>
      </c>
      <c r="B136" s="10" t="s">
        <v>247</v>
      </c>
      <c r="C136" s="10" t="s">
        <v>248</v>
      </c>
      <c r="D136" s="10">
        <v>12.5</v>
      </c>
      <c r="E136" s="10">
        <v>10.4</v>
      </c>
      <c r="F136" s="10">
        <v>0.6</v>
      </c>
      <c r="G136" s="10">
        <v>5.3</v>
      </c>
      <c r="H136" s="10">
        <v>25</v>
      </c>
      <c r="I136" s="10">
        <v>20</v>
      </c>
    </row>
    <row r="137" s="28" customFormat="1" ht="16.5" spans="1:9">
      <c r="A137" s="10" t="s">
        <v>249</v>
      </c>
      <c r="B137" s="10" t="s">
        <v>97</v>
      </c>
      <c r="C137" s="10" t="s">
        <v>250</v>
      </c>
      <c r="D137" s="10">
        <v>13</v>
      </c>
      <c r="E137" s="10">
        <v>25.7</v>
      </c>
      <c r="F137" s="10">
        <v>0.6</v>
      </c>
      <c r="G137" s="10">
        <v>5.3</v>
      </c>
      <c r="H137" s="10">
        <v>25</v>
      </c>
      <c r="I137" s="10">
        <v>20</v>
      </c>
    </row>
    <row r="138" s="28" customFormat="1" ht="16.5" spans="1:9">
      <c r="A138" s="10" t="s">
        <v>251</v>
      </c>
      <c r="B138" s="10" t="s">
        <v>97</v>
      </c>
      <c r="C138" s="10" t="s">
        <v>252</v>
      </c>
      <c r="D138" s="10">
        <v>16</v>
      </c>
      <c r="E138" s="10">
        <v>31.7</v>
      </c>
      <c r="F138" s="10">
        <v>0.8</v>
      </c>
      <c r="G138" s="10">
        <v>7.8</v>
      </c>
      <c r="H138" s="10">
        <v>25</v>
      </c>
      <c r="I138" s="10">
        <v>20</v>
      </c>
    </row>
    <row r="139" s="28" customFormat="1" ht="16.5" spans="1:9">
      <c r="A139" s="10" t="s">
        <v>253</v>
      </c>
      <c r="B139" s="10" t="s">
        <v>254</v>
      </c>
      <c r="C139" s="10" t="s">
        <v>255</v>
      </c>
      <c r="D139" s="10">
        <v>16</v>
      </c>
      <c r="E139" s="10">
        <v>25.6</v>
      </c>
      <c r="F139" s="10">
        <v>0.8</v>
      </c>
      <c r="G139" s="10">
        <v>7.8</v>
      </c>
      <c r="H139" s="10">
        <v>25</v>
      </c>
      <c r="I139" s="10">
        <v>20</v>
      </c>
    </row>
    <row r="140" s="28" customFormat="1" ht="16.5" spans="1:9">
      <c r="A140" s="10" t="s">
        <v>256</v>
      </c>
      <c r="B140" s="10" t="s">
        <v>254</v>
      </c>
      <c r="C140" s="10" t="s">
        <v>257</v>
      </c>
      <c r="D140" s="10">
        <v>16</v>
      </c>
      <c r="E140" s="10">
        <v>20.6</v>
      </c>
      <c r="F140" s="10">
        <v>0.8</v>
      </c>
      <c r="G140" s="10">
        <v>7.8</v>
      </c>
      <c r="H140" s="10">
        <v>25</v>
      </c>
      <c r="I140" s="10">
        <v>20</v>
      </c>
    </row>
    <row r="141" s="28" customFormat="1" ht="16.5" spans="1:9">
      <c r="A141" s="10" t="s">
        <v>258</v>
      </c>
      <c r="B141" s="10" t="s">
        <v>254</v>
      </c>
      <c r="C141" s="10" t="s">
        <v>259</v>
      </c>
      <c r="D141" s="10">
        <v>16</v>
      </c>
      <c r="E141" s="10">
        <v>16.6</v>
      </c>
      <c r="F141" s="10">
        <v>0.8</v>
      </c>
      <c r="G141" s="10">
        <v>7.8</v>
      </c>
      <c r="H141" s="10">
        <v>25</v>
      </c>
      <c r="I141" s="10">
        <v>20</v>
      </c>
    </row>
    <row r="142" s="28" customFormat="1" ht="16.5" spans="1:9">
      <c r="A142" s="10" t="s">
        <v>260</v>
      </c>
      <c r="B142" s="10" t="s">
        <v>261</v>
      </c>
      <c r="C142" s="10" t="s">
        <v>262</v>
      </c>
      <c r="D142" s="10">
        <v>18</v>
      </c>
      <c r="E142" s="10">
        <v>35.9</v>
      </c>
      <c r="F142" s="10">
        <v>0.8</v>
      </c>
      <c r="G142" s="10">
        <v>7.8</v>
      </c>
      <c r="H142" s="10">
        <v>25</v>
      </c>
      <c r="I142" s="10">
        <v>20</v>
      </c>
    </row>
    <row r="143" s="28" customFormat="1" ht="16.5" spans="1:9">
      <c r="A143" s="10" t="s">
        <v>263</v>
      </c>
      <c r="B143" s="10" t="s">
        <v>261</v>
      </c>
      <c r="C143" s="10" t="s">
        <v>264</v>
      </c>
      <c r="D143" s="10">
        <v>18</v>
      </c>
      <c r="E143" s="10">
        <v>31.4</v>
      </c>
      <c r="F143" s="10">
        <v>0.8</v>
      </c>
      <c r="G143" s="10">
        <v>7.8</v>
      </c>
      <c r="H143" s="10">
        <v>25</v>
      </c>
      <c r="I143" s="10">
        <v>20</v>
      </c>
    </row>
    <row r="144" s="28" customFormat="1" ht="16.5" spans="1:9">
      <c r="A144" s="10" t="s">
        <v>265</v>
      </c>
      <c r="B144" s="10" t="s">
        <v>135</v>
      </c>
      <c r="C144" s="10" t="s">
        <v>266</v>
      </c>
      <c r="D144" s="10">
        <v>18</v>
      </c>
      <c r="E144" s="10">
        <v>31.4</v>
      </c>
      <c r="F144" s="10">
        <v>0.8</v>
      </c>
      <c r="G144" s="10">
        <v>7.8</v>
      </c>
      <c r="H144" s="10">
        <v>25</v>
      </c>
      <c r="I144" s="10">
        <v>20</v>
      </c>
    </row>
    <row r="145" s="28" customFormat="1" ht="16.5" spans="1:9">
      <c r="A145" s="10" t="s">
        <v>267</v>
      </c>
      <c r="B145" s="10" t="s">
        <v>43</v>
      </c>
      <c r="C145" s="10" t="s">
        <v>268</v>
      </c>
      <c r="D145" s="10">
        <v>18</v>
      </c>
      <c r="E145" s="10">
        <v>31.4</v>
      </c>
      <c r="F145" s="10">
        <v>0.8</v>
      </c>
      <c r="G145" s="10">
        <v>7.8</v>
      </c>
      <c r="H145" s="10">
        <v>25</v>
      </c>
      <c r="I145" s="10">
        <v>20</v>
      </c>
    </row>
    <row r="146" s="28" customFormat="1" ht="16.5" spans="1:9">
      <c r="A146" s="10" t="s">
        <v>269</v>
      </c>
      <c r="B146" s="10" t="s">
        <v>254</v>
      </c>
      <c r="C146" s="10" t="s">
        <v>270</v>
      </c>
      <c r="D146" s="10">
        <v>18</v>
      </c>
      <c r="E146" s="10">
        <v>25.4</v>
      </c>
      <c r="F146" s="10">
        <v>0.8</v>
      </c>
      <c r="G146" s="10">
        <v>7.8</v>
      </c>
      <c r="H146" s="10">
        <v>25</v>
      </c>
      <c r="I146" s="10">
        <v>20</v>
      </c>
    </row>
    <row r="147" s="28" customFormat="1" ht="16.5" spans="1:9">
      <c r="A147" s="10" t="s">
        <v>271</v>
      </c>
      <c r="B147" s="10" t="s">
        <v>254</v>
      </c>
      <c r="C147" s="10" t="s">
        <v>272</v>
      </c>
      <c r="D147" s="10">
        <v>18</v>
      </c>
      <c r="E147" s="10">
        <v>20.4</v>
      </c>
      <c r="F147" s="10">
        <v>0.8</v>
      </c>
      <c r="G147" s="10">
        <v>7.8</v>
      </c>
      <c r="H147" s="10">
        <v>25</v>
      </c>
      <c r="I147" s="10">
        <v>20</v>
      </c>
    </row>
    <row r="148" s="28" customFormat="1" ht="16.5" spans="1:9">
      <c r="A148" s="10" t="s">
        <v>273</v>
      </c>
      <c r="B148" s="10" t="s">
        <v>43</v>
      </c>
      <c r="C148" s="10" t="s">
        <v>274</v>
      </c>
      <c r="D148" s="10">
        <v>22</v>
      </c>
      <c r="E148" s="10">
        <v>51.1</v>
      </c>
      <c r="F148" s="10">
        <v>0.8</v>
      </c>
      <c r="G148" s="10">
        <v>10.5</v>
      </c>
      <c r="H148" s="10">
        <v>25</v>
      </c>
      <c r="I148" s="10">
        <v>20</v>
      </c>
    </row>
  </sheetData>
  <autoFilter xmlns:etc="http://www.wps.cn/officeDocument/2017/etCustomData" ref="A1:I148" etc:filterBottomFollowUsedRange="0">
    <sortState ref="A1:I148">
      <sortCondition ref="D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C109"/>
  <sheetViews>
    <sheetView topLeftCell="A20" workbookViewId="0">
      <selection activeCell="C4" sqref="C4"/>
    </sheetView>
  </sheetViews>
  <sheetFormatPr defaultColWidth="9" defaultRowHeight="16.5"/>
  <cols>
    <col min="1" max="2" width="22.375" style="7" customWidth="1"/>
    <col min="3" max="3" width="10.8833333333333" style="7" customWidth="1"/>
    <col min="4" max="4" width="12.35" style="7" customWidth="1"/>
    <col min="5" max="9" width="22.375" style="7" hidden="1" customWidth="1"/>
    <col min="10" max="11" width="9" style="7" hidden="1" customWidth="1"/>
    <col min="12" max="12" width="14.75" style="7" customWidth="1"/>
    <col min="13" max="13" width="13.875" style="7" customWidth="1"/>
    <col min="14" max="14" width="9.25833333333333" style="7" customWidth="1"/>
    <col min="15" max="16" width="9" style="7"/>
    <col min="17" max="17" width="15.875" style="7" customWidth="1"/>
    <col min="18" max="28" width="9" style="7"/>
    <col min="29" max="29" width="16.4666666666667" style="7" customWidth="1"/>
    <col min="30" max="16384" width="9" style="7"/>
  </cols>
  <sheetData>
    <row r="1" s="5" customFormat="1" ht="37" customHeight="1" spans="1:17">
      <c r="A1" s="8" t="s">
        <v>0</v>
      </c>
      <c r="B1" s="9" t="s">
        <v>1</v>
      </c>
      <c r="C1" s="9" t="s">
        <v>2</v>
      </c>
      <c r="D1" s="9" t="s">
        <v>275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2" t="s">
        <v>276</v>
      </c>
      <c r="K1" s="12" t="s">
        <v>277</v>
      </c>
      <c r="L1" s="12" t="s">
        <v>278</v>
      </c>
      <c r="M1" s="12" t="s">
        <v>279</v>
      </c>
      <c r="N1" s="12" t="s">
        <v>280</v>
      </c>
      <c r="O1" s="12" t="s">
        <v>281</v>
      </c>
      <c r="P1" s="12" t="s">
        <v>282</v>
      </c>
      <c r="Q1" s="12" t="s">
        <v>283</v>
      </c>
    </row>
    <row r="2" spans="1:17">
      <c r="A2" s="10" t="s">
        <v>284</v>
      </c>
      <c r="B2" s="11" t="s">
        <v>285</v>
      </c>
      <c r="C2" s="11" t="s">
        <v>286</v>
      </c>
      <c r="D2" s="11">
        <v>5</v>
      </c>
      <c r="E2" s="11">
        <v>5.35</v>
      </c>
      <c r="F2" s="11">
        <v>0.5</v>
      </c>
      <c r="G2" s="11">
        <v>2</v>
      </c>
      <c r="H2" s="11">
        <v>25</v>
      </c>
      <c r="I2" s="11">
        <v>20</v>
      </c>
      <c r="J2" s="13">
        <v>0.5</v>
      </c>
      <c r="K2" s="13">
        <v>0.1</v>
      </c>
      <c r="L2" s="13">
        <f t="shared" ref="L2:L65" si="0">E2+J2+K2</f>
        <v>5.95</v>
      </c>
      <c r="M2" s="13">
        <f t="shared" ref="M2:M65" si="1">VLOOKUP(D2,S:AC,2,FALSE)</f>
        <v>5.3</v>
      </c>
      <c r="N2" s="13">
        <f t="shared" ref="N2:N65" si="2">M2</f>
        <v>5.3</v>
      </c>
      <c r="O2" s="13">
        <f t="shared" ref="O2:O65" si="3">VLOOKUP(D2,$S:$AC,8,FALSE)</f>
        <v>1.6</v>
      </c>
      <c r="P2" s="13">
        <f t="shared" ref="P2:P65" si="4">VLOOKUP(D2,$S:$AC,9,FALSE)</f>
        <v>0.9</v>
      </c>
      <c r="Q2" s="13">
        <v>0.5</v>
      </c>
    </row>
    <row r="3" ht="17.25" spans="1:17">
      <c r="A3" s="10" t="s">
        <v>287</v>
      </c>
      <c r="B3" s="11" t="s">
        <v>285</v>
      </c>
      <c r="C3" s="11" t="s">
        <v>55</v>
      </c>
      <c r="D3" s="11">
        <v>5</v>
      </c>
      <c r="E3" s="11">
        <v>6.95</v>
      </c>
      <c r="F3" s="11">
        <v>0.5</v>
      </c>
      <c r="G3" s="11">
        <v>2</v>
      </c>
      <c r="H3" s="11">
        <v>25</v>
      </c>
      <c r="I3" s="11">
        <v>20</v>
      </c>
      <c r="J3" s="13">
        <v>0.5</v>
      </c>
      <c r="K3" s="13">
        <v>0.1</v>
      </c>
      <c r="L3" s="13">
        <f t="shared" si="0"/>
        <v>7.55</v>
      </c>
      <c r="M3" s="13">
        <f t="shared" si="1"/>
        <v>5.3</v>
      </c>
      <c r="N3" s="13">
        <f t="shared" si="2"/>
        <v>5.3</v>
      </c>
      <c r="O3" s="13">
        <f t="shared" si="3"/>
        <v>1.6</v>
      </c>
      <c r="P3" s="13">
        <f t="shared" si="4"/>
        <v>0.9</v>
      </c>
      <c r="Q3" s="13">
        <v>0.5</v>
      </c>
    </row>
    <row r="4" ht="18" spans="1:29">
      <c r="A4" s="10" t="s">
        <v>288</v>
      </c>
      <c r="B4" s="11" t="s">
        <v>285</v>
      </c>
      <c r="C4" s="11" t="s">
        <v>286</v>
      </c>
      <c r="D4" s="11">
        <v>5</v>
      </c>
      <c r="E4" s="11">
        <v>5.35</v>
      </c>
      <c r="F4" s="11">
        <v>0.5</v>
      </c>
      <c r="G4" s="11">
        <v>2</v>
      </c>
      <c r="H4" s="11">
        <v>25</v>
      </c>
      <c r="I4" s="11">
        <v>20</v>
      </c>
      <c r="J4" s="13">
        <v>0.5</v>
      </c>
      <c r="K4" s="13">
        <v>0.1</v>
      </c>
      <c r="L4" s="13">
        <f t="shared" si="0"/>
        <v>5.95</v>
      </c>
      <c r="M4" s="13">
        <f t="shared" si="1"/>
        <v>5.3</v>
      </c>
      <c r="N4" s="13">
        <f t="shared" si="2"/>
        <v>5.3</v>
      </c>
      <c r="O4" s="13">
        <f t="shared" si="3"/>
        <v>1.6</v>
      </c>
      <c r="P4" s="13">
        <f t="shared" si="4"/>
        <v>0.9</v>
      </c>
      <c r="Q4" s="13">
        <v>0.5</v>
      </c>
      <c r="S4" s="14" t="s">
        <v>289</v>
      </c>
      <c r="T4" s="14" t="s">
        <v>290</v>
      </c>
      <c r="U4" s="15" t="s">
        <v>291</v>
      </c>
      <c r="V4" s="16" t="s">
        <v>292</v>
      </c>
      <c r="W4" s="17" t="s">
        <v>293</v>
      </c>
      <c r="X4" s="15" t="s">
        <v>294</v>
      </c>
      <c r="Y4" s="15" t="s">
        <v>295</v>
      </c>
      <c r="Z4" s="15" t="s">
        <v>281</v>
      </c>
      <c r="AA4" s="15" t="s">
        <v>282</v>
      </c>
      <c r="AB4" s="15" t="s">
        <v>296</v>
      </c>
      <c r="AC4" s="15" t="s">
        <v>297</v>
      </c>
    </row>
    <row r="5" ht="18" spans="1:29">
      <c r="A5" s="10" t="s">
        <v>298</v>
      </c>
      <c r="B5" s="11" t="s">
        <v>299</v>
      </c>
      <c r="C5" s="11" t="s">
        <v>286</v>
      </c>
      <c r="D5" s="11">
        <v>5</v>
      </c>
      <c r="E5" s="11">
        <v>5.35</v>
      </c>
      <c r="F5" s="11">
        <v>0.5</v>
      </c>
      <c r="G5" s="11">
        <v>2</v>
      </c>
      <c r="H5" s="11">
        <v>25</v>
      </c>
      <c r="I5" s="11">
        <v>20</v>
      </c>
      <c r="J5" s="13">
        <v>0.5</v>
      </c>
      <c r="K5" s="13">
        <v>0.1</v>
      </c>
      <c r="L5" s="13">
        <f t="shared" si="0"/>
        <v>5.95</v>
      </c>
      <c r="M5" s="13">
        <f t="shared" si="1"/>
        <v>5.3</v>
      </c>
      <c r="N5" s="13">
        <f t="shared" si="2"/>
        <v>5.3</v>
      </c>
      <c r="O5" s="13">
        <f t="shared" si="3"/>
        <v>1.6</v>
      </c>
      <c r="P5" s="13">
        <f t="shared" si="4"/>
        <v>0.9</v>
      </c>
      <c r="Q5" s="13">
        <v>0.5</v>
      </c>
      <c r="S5" s="14"/>
      <c r="T5" s="14"/>
      <c r="U5" s="18" t="s">
        <v>300</v>
      </c>
      <c r="V5" s="16"/>
      <c r="W5" s="19" t="s">
        <v>301</v>
      </c>
      <c r="X5" s="18" t="s">
        <v>302</v>
      </c>
      <c r="Y5" s="18" t="s">
        <v>303</v>
      </c>
      <c r="Z5" s="18" t="s">
        <v>304</v>
      </c>
      <c r="AA5" s="18" t="s">
        <v>305</v>
      </c>
      <c r="AB5" s="18" t="s">
        <v>306</v>
      </c>
      <c r="AC5" s="18" t="s">
        <v>307</v>
      </c>
    </row>
    <row r="6" ht="18" spans="1:29">
      <c r="A6" s="10" t="s">
        <v>308</v>
      </c>
      <c r="B6" s="11" t="s">
        <v>285</v>
      </c>
      <c r="C6" s="11" t="s">
        <v>286</v>
      </c>
      <c r="D6" s="11">
        <v>5</v>
      </c>
      <c r="E6" s="11">
        <v>5.35</v>
      </c>
      <c r="F6" s="11">
        <v>0.5</v>
      </c>
      <c r="G6" s="11">
        <v>2</v>
      </c>
      <c r="H6" s="11">
        <v>25</v>
      </c>
      <c r="I6" s="11">
        <v>20</v>
      </c>
      <c r="J6" s="13">
        <v>0.5</v>
      </c>
      <c r="K6" s="13">
        <v>0.1</v>
      </c>
      <c r="L6" s="13">
        <f t="shared" si="0"/>
        <v>5.95</v>
      </c>
      <c r="M6" s="13">
        <f t="shared" si="1"/>
        <v>5.3</v>
      </c>
      <c r="N6" s="13">
        <f t="shared" si="2"/>
        <v>5.3</v>
      </c>
      <c r="O6" s="13">
        <f t="shared" si="3"/>
        <v>1.6</v>
      </c>
      <c r="P6" s="13">
        <f t="shared" si="4"/>
        <v>0.9</v>
      </c>
      <c r="Q6" s="13">
        <v>0.5</v>
      </c>
      <c r="S6" s="18" t="s">
        <v>309</v>
      </c>
      <c r="T6" s="18" t="s">
        <v>310</v>
      </c>
      <c r="U6" s="18" t="s">
        <v>311</v>
      </c>
      <c r="V6" s="19" t="s">
        <v>311</v>
      </c>
      <c r="W6" s="19" t="s">
        <v>311</v>
      </c>
      <c r="X6" s="18" t="s">
        <v>310</v>
      </c>
      <c r="Y6" s="18" t="s">
        <v>311</v>
      </c>
      <c r="Z6" s="18" t="s">
        <v>310</v>
      </c>
      <c r="AA6" s="18" t="s">
        <v>310</v>
      </c>
      <c r="AB6" s="18" t="s">
        <v>310</v>
      </c>
      <c r="AC6" s="18" t="s">
        <v>311</v>
      </c>
    </row>
    <row r="7" ht="18" spans="1:29">
      <c r="A7" s="10" t="s">
        <v>312</v>
      </c>
      <c r="B7" s="11" t="s">
        <v>285</v>
      </c>
      <c r="C7" s="11" t="s">
        <v>286</v>
      </c>
      <c r="D7" s="11">
        <v>5</v>
      </c>
      <c r="E7" s="11">
        <v>5.35</v>
      </c>
      <c r="F7" s="11">
        <v>0.5</v>
      </c>
      <c r="G7" s="11">
        <v>2</v>
      </c>
      <c r="H7" s="11">
        <v>25</v>
      </c>
      <c r="I7" s="11">
        <v>20</v>
      </c>
      <c r="J7" s="13">
        <v>0.5</v>
      </c>
      <c r="K7" s="13">
        <v>0.1</v>
      </c>
      <c r="L7" s="13">
        <f t="shared" si="0"/>
        <v>5.95</v>
      </c>
      <c r="M7" s="13">
        <f t="shared" si="1"/>
        <v>5.3</v>
      </c>
      <c r="N7" s="13">
        <f t="shared" si="2"/>
        <v>5.3</v>
      </c>
      <c r="O7" s="13">
        <f t="shared" si="3"/>
        <v>1.6</v>
      </c>
      <c r="P7" s="13">
        <f t="shared" si="4"/>
        <v>0.9</v>
      </c>
      <c r="Q7" s="13">
        <v>0.5</v>
      </c>
      <c r="S7" s="18">
        <v>5</v>
      </c>
      <c r="T7" s="18">
        <v>5.3</v>
      </c>
      <c r="U7" s="18">
        <v>4.95</v>
      </c>
      <c r="V7" s="18">
        <v>0.9</v>
      </c>
      <c r="W7" s="18" t="s">
        <v>313</v>
      </c>
      <c r="X7" s="18">
        <v>1.9</v>
      </c>
      <c r="Y7" s="18">
        <v>0.5</v>
      </c>
      <c r="Z7" s="18">
        <v>1.6</v>
      </c>
      <c r="AA7" s="18">
        <v>0.9</v>
      </c>
      <c r="AB7" s="18">
        <v>1</v>
      </c>
      <c r="AC7" s="18">
        <v>0.2</v>
      </c>
    </row>
    <row r="8" ht="18" spans="1:29">
      <c r="A8" s="10" t="s">
        <v>314</v>
      </c>
      <c r="B8" s="11" t="s">
        <v>285</v>
      </c>
      <c r="C8" s="11" t="s">
        <v>286</v>
      </c>
      <c r="D8" s="11">
        <v>5</v>
      </c>
      <c r="E8" s="11">
        <v>5.35</v>
      </c>
      <c r="F8" s="11">
        <v>0.5</v>
      </c>
      <c r="G8" s="11">
        <v>2</v>
      </c>
      <c r="H8" s="11">
        <v>25</v>
      </c>
      <c r="I8" s="11">
        <v>20</v>
      </c>
      <c r="J8" s="13">
        <v>0.5</v>
      </c>
      <c r="K8" s="13">
        <v>0.1</v>
      </c>
      <c r="L8" s="13">
        <f t="shared" si="0"/>
        <v>5.95</v>
      </c>
      <c r="M8" s="13">
        <f t="shared" si="1"/>
        <v>5.3</v>
      </c>
      <c r="N8" s="13">
        <f t="shared" si="2"/>
        <v>5.3</v>
      </c>
      <c r="O8" s="13">
        <f t="shared" si="3"/>
        <v>1.6</v>
      </c>
      <c r="P8" s="13">
        <f t="shared" si="4"/>
        <v>0.9</v>
      </c>
      <c r="Q8" s="13">
        <v>0.5</v>
      </c>
      <c r="S8" s="18">
        <v>5.15</v>
      </c>
      <c r="T8" s="18">
        <v>5.3</v>
      </c>
      <c r="U8" s="18">
        <v>4.95</v>
      </c>
      <c r="V8" s="18">
        <v>0.9</v>
      </c>
      <c r="W8" s="18" t="s">
        <v>313</v>
      </c>
      <c r="X8" s="18">
        <v>1.9</v>
      </c>
      <c r="Y8" s="18">
        <v>0.5</v>
      </c>
      <c r="Z8" s="18">
        <v>1.6</v>
      </c>
      <c r="AA8" s="18">
        <v>0.9</v>
      </c>
      <c r="AB8" s="18">
        <v>1</v>
      </c>
      <c r="AC8" s="18">
        <v>0.2</v>
      </c>
    </row>
    <row r="9" ht="18" spans="1:29">
      <c r="A9" s="10" t="s">
        <v>315</v>
      </c>
      <c r="B9" s="11" t="s">
        <v>299</v>
      </c>
      <c r="C9" s="11" t="s">
        <v>286</v>
      </c>
      <c r="D9" s="11">
        <v>5</v>
      </c>
      <c r="E9" s="11">
        <v>5.35</v>
      </c>
      <c r="F9" s="11">
        <v>0.5</v>
      </c>
      <c r="G9" s="11">
        <v>2</v>
      </c>
      <c r="H9" s="11">
        <v>25</v>
      </c>
      <c r="I9" s="11">
        <v>20</v>
      </c>
      <c r="J9" s="13">
        <v>0.5</v>
      </c>
      <c r="K9" s="13">
        <v>0.1</v>
      </c>
      <c r="L9" s="13">
        <f t="shared" si="0"/>
        <v>5.95</v>
      </c>
      <c r="M9" s="13">
        <f t="shared" si="1"/>
        <v>5.3</v>
      </c>
      <c r="N9" s="13">
        <f t="shared" si="2"/>
        <v>5.3</v>
      </c>
      <c r="O9" s="13">
        <f t="shared" si="3"/>
        <v>1.6</v>
      </c>
      <c r="P9" s="13">
        <f t="shared" si="4"/>
        <v>0.9</v>
      </c>
      <c r="Q9" s="13">
        <v>0.5</v>
      </c>
      <c r="S9" s="18">
        <v>5.45</v>
      </c>
      <c r="T9" s="18">
        <v>6.6</v>
      </c>
      <c r="U9" s="18">
        <v>6.15</v>
      </c>
      <c r="V9" s="18">
        <v>0.9</v>
      </c>
      <c r="W9" s="18" t="s">
        <v>313</v>
      </c>
      <c r="X9" s="18">
        <v>2.4</v>
      </c>
      <c r="Y9" s="18">
        <v>0.5</v>
      </c>
      <c r="Z9" s="18">
        <v>1.6</v>
      </c>
      <c r="AA9" s="18">
        <v>1.05</v>
      </c>
      <c r="AB9" s="18">
        <v>1</v>
      </c>
      <c r="AC9" s="18">
        <v>0.2</v>
      </c>
    </row>
    <row r="10" ht="18" spans="1:29">
      <c r="A10" s="10" t="s">
        <v>316</v>
      </c>
      <c r="B10" s="11" t="s">
        <v>299</v>
      </c>
      <c r="C10" s="11" t="s">
        <v>286</v>
      </c>
      <c r="D10" s="11">
        <v>5</v>
      </c>
      <c r="E10" s="11">
        <v>5.35</v>
      </c>
      <c r="F10" s="11">
        <v>0.5</v>
      </c>
      <c r="G10" s="11">
        <v>2</v>
      </c>
      <c r="H10" s="11">
        <v>25</v>
      </c>
      <c r="I10" s="11">
        <v>20</v>
      </c>
      <c r="J10" s="13">
        <v>0.5</v>
      </c>
      <c r="K10" s="13">
        <v>0.1</v>
      </c>
      <c r="L10" s="13">
        <f t="shared" si="0"/>
        <v>5.95</v>
      </c>
      <c r="M10" s="13">
        <f t="shared" si="1"/>
        <v>5.3</v>
      </c>
      <c r="N10" s="13">
        <f t="shared" si="2"/>
        <v>5.3</v>
      </c>
      <c r="O10" s="13">
        <f t="shared" si="3"/>
        <v>1.6</v>
      </c>
      <c r="P10" s="13">
        <f t="shared" si="4"/>
        <v>0.9</v>
      </c>
      <c r="Q10" s="13">
        <v>0.5</v>
      </c>
      <c r="S10" s="18">
        <v>6.3</v>
      </c>
      <c r="T10" s="18">
        <v>6.6</v>
      </c>
      <c r="U10" s="18">
        <v>6.15</v>
      </c>
      <c r="V10" s="18">
        <v>0.9</v>
      </c>
      <c r="W10" s="18" t="s">
        <v>313</v>
      </c>
      <c r="X10" s="18">
        <v>2.4</v>
      </c>
      <c r="Y10" s="18">
        <v>0.5</v>
      </c>
      <c r="Z10" s="18">
        <v>1.6</v>
      </c>
      <c r="AA10" s="18">
        <v>1.05</v>
      </c>
      <c r="AB10" s="18">
        <v>1</v>
      </c>
      <c r="AC10" s="18">
        <v>0.2</v>
      </c>
    </row>
    <row r="11" ht="18" spans="1:29">
      <c r="A11" s="10" t="s">
        <v>317</v>
      </c>
      <c r="B11" s="11" t="s">
        <v>318</v>
      </c>
      <c r="C11" s="11" t="s">
        <v>286</v>
      </c>
      <c r="D11" s="11">
        <v>5</v>
      </c>
      <c r="E11" s="11">
        <v>5.35</v>
      </c>
      <c r="F11" s="11">
        <v>0.5</v>
      </c>
      <c r="G11" s="11">
        <v>2</v>
      </c>
      <c r="H11" s="11">
        <v>25</v>
      </c>
      <c r="I11" s="11">
        <v>20</v>
      </c>
      <c r="J11" s="13">
        <v>0.5</v>
      </c>
      <c r="K11" s="13">
        <v>0.1</v>
      </c>
      <c r="L11" s="13">
        <f t="shared" si="0"/>
        <v>5.95</v>
      </c>
      <c r="M11" s="13">
        <f t="shared" si="1"/>
        <v>5.3</v>
      </c>
      <c r="N11" s="13">
        <f t="shared" si="2"/>
        <v>5.3</v>
      </c>
      <c r="O11" s="13">
        <f t="shared" si="3"/>
        <v>1.6</v>
      </c>
      <c r="P11" s="13">
        <f t="shared" si="4"/>
        <v>0.9</v>
      </c>
      <c r="Q11" s="13">
        <v>0.5</v>
      </c>
      <c r="S11" s="18">
        <v>6.5</v>
      </c>
      <c r="T11" s="18">
        <v>6.6</v>
      </c>
      <c r="U11" s="18">
        <v>6.15</v>
      </c>
      <c r="V11" s="18">
        <v>0.9</v>
      </c>
      <c r="W11" s="18" t="s">
        <v>313</v>
      </c>
      <c r="X11" s="18">
        <v>2.4</v>
      </c>
      <c r="Y11" s="18">
        <v>0.5</v>
      </c>
      <c r="Z11" s="18">
        <v>1.6</v>
      </c>
      <c r="AA11" s="18">
        <v>1.05</v>
      </c>
      <c r="AB11" s="18">
        <v>1</v>
      </c>
      <c r="AC11" s="18">
        <v>0.2</v>
      </c>
    </row>
    <row r="12" ht="18" spans="1:29">
      <c r="A12" s="10" t="s">
        <v>319</v>
      </c>
      <c r="B12" s="11" t="s">
        <v>318</v>
      </c>
      <c r="C12" s="11" t="s">
        <v>286</v>
      </c>
      <c r="D12" s="11">
        <v>5</v>
      </c>
      <c r="E12" s="11">
        <v>5.35</v>
      </c>
      <c r="F12" s="11">
        <v>0.5</v>
      </c>
      <c r="G12" s="11">
        <v>2</v>
      </c>
      <c r="H12" s="11">
        <v>25</v>
      </c>
      <c r="I12" s="11">
        <v>20</v>
      </c>
      <c r="J12" s="13">
        <v>0.5</v>
      </c>
      <c r="K12" s="13">
        <v>0.1</v>
      </c>
      <c r="L12" s="13">
        <f t="shared" si="0"/>
        <v>5.95</v>
      </c>
      <c r="M12" s="13">
        <f t="shared" si="1"/>
        <v>5.3</v>
      </c>
      <c r="N12" s="13">
        <f t="shared" si="2"/>
        <v>5.3</v>
      </c>
      <c r="O12" s="13">
        <f t="shared" si="3"/>
        <v>1.6</v>
      </c>
      <c r="P12" s="13">
        <f t="shared" si="4"/>
        <v>0.9</v>
      </c>
      <c r="Q12" s="13">
        <v>0.5</v>
      </c>
      <c r="S12" s="18">
        <v>8</v>
      </c>
      <c r="T12" s="18">
        <v>8.3</v>
      </c>
      <c r="U12" s="18">
        <v>8</v>
      </c>
      <c r="V12" s="18">
        <v>0.85</v>
      </c>
      <c r="W12" s="18">
        <v>1.1</v>
      </c>
      <c r="X12" s="18">
        <v>3.5</v>
      </c>
      <c r="Y12" s="18">
        <v>0.55</v>
      </c>
      <c r="Z12" s="18">
        <v>1.9</v>
      </c>
      <c r="AA12" s="18">
        <v>1.1</v>
      </c>
      <c r="AB12" s="18">
        <v>1.1</v>
      </c>
      <c r="AC12" s="18">
        <v>0.25</v>
      </c>
    </row>
    <row r="13" ht="18" spans="1:29">
      <c r="A13" s="10" t="s">
        <v>320</v>
      </c>
      <c r="B13" s="11" t="s">
        <v>285</v>
      </c>
      <c r="C13" s="11" t="s">
        <v>286</v>
      </c>
      <c r="D13" s="11">
        <v>5</v>
      </c>
      <c r="E13" s="11">
        <v>5.35</v>
      </c>
      <c r="F13" s="11">
        <v>0.5</v>
      </c>
      <c r="G13" s="11">
        <v>2</v>
      </c>
      <c r="H13" s="11">
        <v>25</v>
      </c>
      <c r="I13" s="11">
        <v>20</v>
      </c>
      <c r="J13" s="13">
        <v>0.5</v>
      </c>
      <c r="K13" s="13">
        <v>0.1</v>
      </c>
      <c r="L13" s="13">
        <f t="shared" si="0"/>
        <v>5.95</v>
      </c>
      <c r="M13" s="13">
        <f t="shared" si="1"/>
        <v>5.3</v>
      </c>
      <c r="N13" s="13">
        <f t="shared" si="2"/>
        <v>5.3</v>
      </c>
      <c r="O13" s="13">
        <f t="shared" si="3"/>
        <v>1.6</v>
      </c>
      <c r="P13" s="13">
        <f t="shared" si="4"/>
        <v>0.9</v>
      </c>
      <c r="Q13" s="13">
        <v>0.5</v>
      </c>
      <c r="S13" s="18">
        <v>8.2</v>
      </c>
      <c r="T13" s="18">
        <v>8.3</v>
      </c>
      <c r="U13" s="18">
        <v>8</v>
      </c>
      <c r="V13" s="18">
        <v>0.85</v>
      </c>
      <c r="W13" s="18">
        <v>1.1</v>
      </c>
      <c r="X13" s="18">
        <v>3.5</v>
      </c>
      <c r="Y13" s="18">
        <v>0.55</v>
      </c>
      <c r="Z13" s="18">
        <v>1.9</v>
      </c>
      <c r="AA13" s="18">
        <v>1.1</v>
      </c>
      <c r="AB13" s="18">
        <v>1.1</v>
      </c>
      <c r="AC13" s="18">
        <v>0.25</v>
      </c>
    </row>
    <row r="14" ht="18" spans="1:29">
      <c r="A14" s="10" t="s">
        <v>321</v>
      </c>
      <c r="B14" s="11" t="s">
        <v>299</v>
      </c>
      <c r="C14" s="11" t="s">
        <v>286</v>
      </c>
      <c r="D14" s="11">
        <v>5</v>
      </c>
      <c r="E14" s="11">
        <v>5.35</v>
      </c>
      <c r="F14" s="11">
        <v>0.5</v>
      </c>
      <c r="G14" s="11">
        <v>2</v>
      </c>
      <c r="H14" s="11">
        <v>25</v>
      </c>
      <c r="I14" s="11">
        <v>20</v>
      </c>
      <c r="J14" s="13">
        <v>0.5</v>
      </c>
      <c r="K14" s="13">
        <v>0.1</v>
      </c>
      <c r="L14" s="13">
        <f t="shared" si="0"/>
        <v>5.95</v>
      </c>
      <c r="M14" s="13">
        <f t="shared" si="1"/>
        <v>5.3</v>
      </c>
      <c r="N14" s="13">
        <f t="shared" si="2"/>
        <v>5.3</v>
      </c>
      <c r="O14" s="13">
        <f t="shared" si="3"/>
        <v>1.6</v>
      </c>
      <c r="P14" s="13">
        <f t="shared" si="4"/>
        <v>0.9</v>
      </c>
      <c r="Q14" s="13">
        <v>0.5</v>
      </c>
      <c r="S14" s="20">
        <v>10</v>
      </c>
      <c r="T14" s="20">
        <v>10.3</v>
      </c>
      <c r="U14" s="20">
        <v>10</v>
      </c>
      <c r="V14" s="20">
        <v>0.85</v>
      </c>
      <c r="W14" s="20">
        <v>1.1</v>
      </c>
      <c r="X14" s="20">
        <v>4.75</v>
      </c>
      <c r="Y14" s="20">
        <v>0.55</v>
      </c>
      <c r="Z14" s="20">
        <v>1.9</v>
      </c>
      <c r="AA14" s="20">
        <v>1.1</v>
      </c>
      <c r="AB14" s="20">
        <v>1.1</v>
      </c>
      <c r="AC14" s="20">
        <v>0.3</v>
      </c>
    </row>
    <row r="15" ht="18" spans="1:29">
      <c r="A15" s="10" t="s">
        <v>322</v>
      </c>
      <c r="B15" s="11" t="s">
        <v>318</v>
      </c>
      <c r="C15" s="11" t="s">
        <v>286</v>
      </c>
      <c r="D15" s="11">
        <v>5</v>
      </c>
      <c r="E15" s="11">
        <v>5.35</v>
      </c>
      <c r="F15" s="11">
        <v>0.5</v>
      </c>
      <c r="G15" s="11">
        <v>2</v>
      </c>
      <c r="H15" s="11">
        <v>25</v>
      </c>
      <c r="I15" s="11">
        <v>20</v>
      </c>
      <c r="J15" s="13">
        <v>0.5</v>
      </c>
      <c r="K15" s="13">
        <v>0.1</v>
      </c>
      <c r="L15" s="13">
        <f t="shared" si="0"/>
        <v>5.95</v>
      </c>
      <c r="M15" s="13">
        <f t="shared" si="1"/>
        <v>5.3</v>
      </c>
      <c r="N15" s="13">
        <f t="shared" si="2"/>
        <v>5.3</v>
      </c>
      <c r="O15" s="13">
        <f t="shared" si="3"/>
        <v>1.6</v>
      </c>
      <c r="P15" s="13">
        <f t="shared" si="4"/>
        <v>0.9</v>
      </c>
      <c r="Q15" s="13">
        <v>0.5</v>
      </c>
      <c r="S15" s="20">
        <v>10.2</v>
      </c>
      <c r="T15" s="20">
        <v>10.3</v>
      </c>
      <c r="U15" s="20">
        <v>10</v>
      </c>
      <c r="V15" s="20">
        <v>0.85</v>
      </c>
      <c r="W15" s="20">
        <v>1.1</v>
      </c>
      <c r="X15" s="20">
        <v>4.75</v>
      </c>
      <c r="Y15" s="20">
        <v>0.55</v>
      </c>
      <c r="Z15" s="20">
        <v>1.9</v>
      </c>
      <c r="AA15" s="20">
        <v>1.1</v>
      </c>
      <c r="AB15" s="20">
        <v>1.1</v>
      </c>
      <c r="AC15" s="20">
        <v>0.3</v>
      </c>
    </row>
    <row r="16" ht="18" spans="1:29">
      <c r="A16" s="10" t="s">
        <v>323</v>
      </c>
      <c r="B16" s="11" t="s">
        <v>285</v>
      </c>
      <c r="C16" s="11" t="s">
        <v>286</v>
      </c>
      <c r="D16" s="11">
        <v>5</v>
      </c>
      <c r="E16" s="11">
        <v>5.35</v>
      </c>
      <c r="F16" s="11">
        <v>0.5</v>
      </c>
      <c r="G16" s="11">
        <v>2</v>
      </c>
      <c r="H16" s="11">
        <v>25</v>
      </c>
      <c r="I16" s="11">
        <v>20</v>
      </c>
      <c r="J16" s="13">
        <v>0.5</v>
      </c>
      <c r="K16" s="13">
        <v>0.1</v>
      </c>
      <c r="L16" s="13">
        <f t="shared" si="0"/>
        <v>5.95</v>
      </c>
      <c r="M16" s="13">
        <f t="shared" si="1"/>
        <v>5.3</v>
      </c>
      <c r="N16" s="13">
        <f t="shared" si="2"/>
        <v>5.3</v>
      </c>
      <c r="O16" s="13">
        <f t="shared" si="3"/>
        <v>1.6</v>
      </c>
      <c r="P16" s="13">
        <f t="shared" si="4"/>
        <v>0.9</v>
      </c>
      <c r="Q16" s="13">
        <v>0.5</v>
      </c>
      <c r="S16" s="20">
        <v>12.5</v>
      </c>
      <c r="T16" s="20">
        <v>12.8</v>
      </c>
      <c r="U16" s="20">
        <v>12.5</v>
      </c>
      <c r="V16" s="20">
        <v>1.2</v>
      </c>
      <c r="W16" s="20" t="s">
        <v>324</v>
      </c>
      <c r="X16" s="20">
        <v>5</v>
      </c>
      <c r="Y16" s="20">
        <v>0.65</v>
      </c>
      <c r="Z16" s="20">
        <v>1.65</v>
      </c>
      <c r="AA16" s="20">
        <v>1</v>
      </c>
      <c r="AB16" s="20">
        <v>1.2</v>
      </c>
      <c r="AC16" s="20">
        <v>0.3</v>
      </c>
    </row>
    <row r="17" ht="18" spans="1:29">
      <c r="A17" s="10" t="s">
        <v>325</v>
      </c>
      <c r="B17" s="11" t="s">
        <v>285</v>
      </c>
      <c r="C17" s="11" t="s">
        <v>286</v>
      </c>
      <c r="D17" s="11">
        <v>5</v>
      </c>
      <c r="E17" s="11">
        <v>5.35</v>
      </c>
      <c r="F17" s="11">
        <v>0.5</v>
      </c>
      <c r="G17" s="11">
        <v>2</v>
      </c>
      <c r="H17" s="11">
        <v>25</v>
      </c>
      <c r="I17" s="11">
        <v>20</v>
      </c>
      <c r="J17" s="13">
        <v>0.5</v>
      </c>
      <c r="K17" s="13">
        <v>0.1</v>
      </c>
      <c r="L17" s="13">
        <f t="shared" si="0"/>
        <v>5.95</v>
      </c>
      <c r="M17" s="13">
        <f t="shared" si="1"/>
        <v>5.3</v>
      </c>
      <c r="N17" s="13">
        <f t="shared" si="2"/>
        <v>5.3</v>
      </c>
      <c r="O17" s="13">
        <f t="shared" si="3"/>
        <v>1.6</v>
      </c>
      <c r="P17" s="13">
        <f t="shared" si="4"/>
        <v>0.9</v>
      </c>
      <c r="Q17" s="13">
        <v>0.5</v>
      </c>
      <c r="S17" s="18">
        <v>16</v>
      </c>
      <c r="T17" s="18">
        <v>17</v>
      </c>
      <c r="U17" s="18">
        <v>15.9</v>
      </c>
      <c r="V17" s="18">
        <v>0.89</v>
      </c>
      <c r="W17" s="18">
        <v>1.35</v>
      </c>
      <c r="X17" s="18">
        <v>7.3</v>
      </c>
      <c r="Y17" s="18">
        <v>1</v>
      </c>
      <c r="Z17" s="18">
        <v>3.6</v>
      </c>
      <c r="AA17" s="18">
        <v>2</v>
      </c>
      <c r="AB17" s="18">
        <v>1.4</v>
      </c>
      <c r="AC17" s="18" t="s">
        <v>326</v>
      </c>
    </row>
    <row r="18" ht="18" spans="1:29">
      <c r="A18" s="10" t="s">
        <v>327</v>
      </c>
      <c r="B18" s="11" t="s">
        <v>285</v>
      </c>
      <c r="C18" s="11" t="s">
        <v>286</v>
      </c>
      <c r="D18" s="11">
        <v>5</v>
      </c>
      <c r="E18" s="11">
        <v>5.35</v>
      </c>
      <c r="F18" s="11">
        <v>0.5</v>
      </c>
      <c r="G18" s="11">
        <v>2</v>
      </c>
      <c r="H18" s="11">
        <v>25</v>
      </c>
      <c r="I18" s="11">
        <v>20</v>
      </c>
      <c r="J18" s="13">
        <v>0.5</v>
      </c>
      <c r="K18" s="13">
        <v>0.1</v>
      </c>
      <c r="L18" s="13">
        <f t="shared" si="0"/>
        <v>5.95</v>
      </c>
      <c r="M18" s="13">
        <f t="shared" si="1"/>
        <v>5.3</v>
      </c>
      <c r="N18" s="13">
        <f t="shared" si="2"/>
        <v>5.3</v>
      </c>
      <c r="O18" s="13">
        <f t="shared" si="3"/>
        <v>1.6</v>
      </c>
      <c r="P18" s="13">
        <f t="shared" si="4"/>
        <v>0.9</v>
      </c>
      <c r="Q18" s="13">
        <v>0.5</v>
      </c>
      <c r="S18" s="18">
        <v>18</v>
      </c>
      <c r="T18" s="18">
        <v>19</v>
      </c>
      <c r="U18" s="18">
        <v>18</v>
      </c>
      <c r="V18" s="18">
        <v>1.1</v>
      </c>
      <c r="W18" s="18">
        <v>1.48</v>
      </c>
      <c r="X18" s="18">
        <v>7.5</v>
      </c>
      <c r="Y18" s="18">
        <v>1.02</v>
      </c>
      <c r="Z18" s="18">
        <v>3.1</v>
      </c>
      <c r="AA18" s="18">
        <v>2.05</v>
      </c>
      <c r="AB18" s="18">
        <v>1.48</v>
      </c>
      <c r="AC18" s="18" t="s">
        <v>328</v>
      </c>
    </row>
    <row r="19" spans="1:17">
      <c r="A19" s="10" t="s">
        <v>329</v>
      </c>
      <c r="B19" s="11" t="s">
        <v>330</v>
      </c>
      <c r="C19" s="11" t="s">
        <v>62</v>
      </c>
      <c r="D19" s="11">
        <v>5</v>
      </c>
      <c r="E19" s="11">
        <v>10.75</v>
      </c>
      <c r="F19" s="11">
        <v>0.5</v>
      </c>
      <c r="G19" s="11">
        <v>2</v>
      </c>
      <c r="H19" s="11">
        <v>25</v>
      </c>
      <c r="I19" s="11">
        <v>20</v>
      </c>
      <c r="J19" s="13">
        <v>0.5</v>
      </c>
      <c r="K19" s="13">
        <v>0.1</v>
      </c>
      <c r="L19" s="13">
        <f t="shared" si="0"/>
        <v>11.35</v>
      </c>
      <c r="M19" s="13">
        <f t="shared" si="1"/>
        <v>5.3</v>
      </c>
      <c r="N19" s="13">
        <f t="shared" si="2"/>
        <v>5.3</v>
      </c>
      <c r="O19" s="13">
        <f t="shared" si="3"/>
        <v>1.6</v>
      </c>
      <c r="P19" s="13">
        <f t="shared" si="4"/>
        <v>0.9</v>
      </c>
      <c r="Q19" s="13">
        <v>0.5</v>
      </c>
    </row>
    <row r="20" s="6" customFormat="1" spans="1:17">
      <c r="A20" s="10" t="s">
        <v>331</v>
      </c>
      <c r="B20" s="11" t="s">
        <v>318</v>
      </c>
      <c r="C20" s="11" t="s">
        <v>58</v>
      </c>
      <c r="D20" s="11">
        <v>5</v>
      </c>
      <c r="E20" s="11">
        <v>12.45</v>
      </c>
      <c r="F20" s="11">
        <v>0.5</v>
      </c>
      <c r="G20" s="11">
        <v>2.1</v>
      </c>
      <c r="H20" s="11">
        <v>25</v>
      </c>
      <c r="I20" s="11">
        <v>20</v>
      </c>
      <c r="J20" s="13">
        <v>0.5</v>
      </c>
      <c r="K20" s="13">
        <v>0.1</v>
      </c>
      <c r="L20" s="13">
        <f t="shared" si="0"/>
        <v>13.05</v>
      </c>
      <c r="M20" s="13">
        <f t="shared" si="1"/>
        <v>5.3</v>
      </c>
      <c r="N20" s="13">
        <f t="shared" si="2"/>
        <v>5.3</v>
      </c>
      <c r="O20" s="13">
        <f t="shared" si="3"/>
        <v>1.6</v>
      </c>
      <c r="P20" s="13">
        <f t="shared" si="4"/>
        <v>0.9</v>
      </c>
      <c r="Q20" s="13">
        <v>0.5</v>
      </c>
    </row>
    <row r="21" s="6" customFormat="1" spans="1:17">
      <c r="A21" s="10" t="s">
        <v>332</v>
      </c>
      <c r="B21" s="11" t="s">
        <v>285</v>
      </c>
      <c r="C21" s="11" t="s">
        <v>333</v>
      </c>
      <c r="D21" s="11">
        <v>5</v>
      </c>
      <c r="E21" s="11">
        <v>7.15</v>
      </c>
      <c r="F21" s="11">
        <v>0.5</v>
      </c>
      <c r="G21" s="11">
        <v>2.1</v>
      </c>
      <c r="H21" s="11">
        <v>25</v>
      </c>
      <c r="I21" s="11">
        <v>20</v>
      </c>
      <c r="J21" s="13">
        <v>0.5</v>
      </c>
      <c r="K21" s="13">
        <v>0.1</v>
      </c>
      <c r="L21" s="13">
        <f t="shared" si="0"/>
        <v>7.75</v>
      </c>
      <c r="M21" s="13">
        <f t="shared" si="1"/>
        <v>5.3</v>
      </c>
      <c r="N21" s="13">
        <f t="shared" si="2"/>
        <v>5.3</v>
      </c>
      <c r="O21" s="13">
        <f t="shared" si="3"/>
        <v>1.6</v>
      </c>
      <c r="P21" s="13">
        <f t="shared" si="4"/>
        <v>0.9</v>
      </c>
      <c r="Q21" s="13">
        <v>0.5</v>
      </c>
    </row>
    <row r="22" s="6" customFormat="1" spans="1:17">
      <c r="A22" s="10" t="s">
        <v>334</v>
      </c>
      <c r="B22" s="11" t="s">
        <v>330</v>
      </c>
      <c r="C22" s="11" t="s">
        <v>48</v>
      </c>
      <c r="D22" s="11">
        <v>5.15</v>
      </c>
      <c r="E22" s="11">
        <v>11.55</v>
      </c>
      <c r="F22" s="11">
        <v>0.5</v>
      </c>
      <c r="G22" s="11">
        <v>2</v>
      </c>
      <c r="H22" s="11">
        <v>25</v>
      </c>
      <c r="I22" s="11">
        <v>20</v>
      </c>
      <c r="J22" s="13">
        <v>0.5</v>
      </c>
      <c r="K22" s="13">
        <v>0.1</v>
      </c>
      <c r="L22" s="13">
        <f t="shared" si="0"/>
        <v>12.15</v>
      </c>
      <c r="M22" s="13">
        <f t="shared" si="1"/>
        <v>5.3</v>
      </c>
      <c r="N22" s="13">
        <f t="shared" si="2"/>
        <v>5.3</v>
      </c>
      <c r="O22" s="13">
        <f t="shared" si="3"/>
        <v>1.6</v>
      </c>
      <c r="P22" s="13">
        <f t="shared" si="4"/>
        <v>0.9</v>
      </c>
      <c r="Q22" s="13">
        <v>0.5</v>
      </c>
    </row>
    <row r="23" s="6" customFormat="1" spans="1:17">
      <c r="A23" s="10" t="s">
        <v>335</v>
      </c>
      <c r="B23" s="11" t="s">
        <v>285</v>
      </c>
      <c r="C23" s="11" t="s">
        <v>336</v>
      </c>
      <c r="D23" s="11">
        <v>5.15</v>
      </c>
      <c r="E23" s="11">
        <v>15.35</v>
      </c>
      <c r="F23" s="11">
        <v>0.5</v>
      </c>
      <c r="G23" s="11">
        <v>2.1</v>
      </c>
      <c r="H23" s="11">
        <v>25</v>
      </c>
      <c r="I23" s="11">
        <v>20</v>
      </c>
      <c r="J23" s="13">
        <v>0.5</v>
      </c>
      <c r="K23" s="13">
        <v>0.1</v>
      </c>
      <c r="L23" s="13">
        <f t="shared" si="0"/>
        <v>15.95</v>
      </c>
      <c r="M23" s="13">
        <f t="shared" si="1"/>
        <v>5.3</v>
      </c>
      <c r="N23" s="13">
        <f t="shared" si="2"/>
        <v>5.3</v>
      </c>
      <c r="O23" s="13">
        <f t="shared" si="3"/>
        <v>1.6</v>
      </c>
      <c r="P23" s="13">
        <f t="shared" si="4"/>
        <v>0.9</v>
      </c>
      <c r="Q23" s="13">
        <v>0.5</v>
      </c>
    </row>
    <row r="24" s="6" customFormat="1" spans="1:17">
      <c r="A24" s="10" t="s">
        <v>337</v>
      </c>
      <c r="B24" s="11" t="s">
        <v>285</v>
      </c>
      <c r="C24" s="11" t="s">
        <v>333</v>
      </c>
      <c r="D24" s="11">
        <v>5.15</v>
      </c>
      <c r="E24" s="11">
        <v>7.15</v>
      </c>
      <c r="F24" s="11">
        <v>0.5</v>
      </c>
      <c r="G24" s="11">
        <v>2.1</v>
      </c>
      <c r="H24" s="11">
        <v>25</v>
      </c>
      <c r="I24" s="11">
        <v>20</v>
      </c>
      <c r="J24" s="13">
        <v>0.5</v>
      </c>
      <c r="K24" s="13">
        <v>0.1</v>
      </c>
      <c r="L24" s="13">
        <f t="shared" si="0"/>
        <v>7.75</v>
      </c>
      <c r="M24" s="13">
        <f t="shared" si="1"/>
        <v>5.3</v>
      </c>
      <c r="N24" s="13">
        <f t="shared" si="2"/>
        <v>5.3</v>
      </c>
      <c r="O24" s="13">
        <f t="shared" si="3"/>
        <v>1.6</v>
      </c>
      <c r="P24" s="13">
        <f t="shared" si="4"/>
        <v>0.9</v>
      </c>
      <c r="Q24" s="13">
        <v>0.5</v>
      </c>
    </row>
    <row r="25" s="6" customFormat="1" spans="1:17">
      <c r="A25" s="10" t="s">
        <v>338</v>
      </c>
      <c r="B25" s="11" t="s">
        <v>285</v>
      </c>
      <c r="C25" s="11" t="s">
        <v>339</v>
      </c>
      <c r="D25" s="11">
        <v>5.15</v>
      </c>
      <c r="E25" s="11">
        <v>7.95</v>
      </c>
      <c r="F25" s="11">
        <v>0.5</v>
      </c>
      <c r="G25" s="11">
        <v>2.1</v>
      </c>
      <c r="H25" s="11">
        <v>25</v>
      </c>
      <c r="I25" s="11">
        <v>20</v>
      </c>
      <c r="J25" s="13">
        <v>0.5</v>
      </c>
      <c r="K25" s="13">
        <v>0.1</v>
      </c>
      <c r="L25" s="13">
        <f t="shared" si="0"/>
        <v>8.55</v>
      </c>
      <c r="M25" s="13">
        <f t="shared" si="1"/>
        <v>5.3</v>
      </c>
      <c r="N25" s="13">
        <f t="shared" si="2"/>
        <v>5.3</v>
      </c>
      <c r="O25" s="13">
        <f t="shared" si="3"/>
        <v>1.6</v>
      </c>
      <c r="P25" s="13">
        <f t="shared" si="4"/>
        <v>0.9</v>
      </c>
      <c r="Q25" s="13">
        <v>0.5</v>
      </c>
    </row>
    <row r="26" s="6" customFormat="1" spans="1:17">
      <c r="A26" s="10" t="s">
        <v>340</v>
      </c>
      <c r="B26" s="11" t="s">
        <v>299</v>
      </c>
      <c r="C26" s="11" t="s">
        <v>341</v>
      </c>
      <c r="D26" s="11">
        <v>5.15</v>
      </c>
      <c r="E26" s="11">
        <v>9.15</v>
      </c>
      <c r="F26" s="11">
        <v>0.5</v>
      </c>
      <c r="G26" s="11">
        <v>2.1</v>
      </c>
      <c r="H26" s="11">
        <v>25</v>
      </c>
      <c r="I26" s="11">
        <v>20</v>
      </c>
      <c r="J26" s="13">
        <v>0.5</v>
      </c>
      <c r="K26" s="13">
        <v>0.1</v>
      </c>
      <c r="L26" s="13">
        <f t="shared" si="0"/>
        <v>9.75</v>
      </c>
      <c r="M26" s="13">
        <f t="shared" si="1"/>
        <v>5.3</v>
      </c>
      <c r="N26" s="13">
        <f t="shared" si="2"/>
        <v>5.3</v>
      </c>
      <c r="O26" s="13">
        <f t="shared" si="3"/>
        <v>1.6</v>
      </c>
      <c r="P26" s="13">
        <f t="shared" si="4"/>
        <v>0.9</v>
      </c>
      <c r="Q26" s="13">
        <v>0.5</v>
      </c>
    </row>
    <row r="27" s="6" customFormat="1" spans="1:17">
      <c r="A27" s="10" t="s">
        <v>342</v>
      </c>
      <c r="B27" s="11" t="s">
        <v>318</v>
      </c>
      <c r="C27" s="11" t="s">
        <v>333</v>
      </c>
      <c r="D27" s="11">
        <v>5.15</v>
      </c>
      <c r="E27" s="11">
        <v>7.95</v>
      </c>
      <c r="F27" s="11">
        <v>0.5</v>
      </c>
      <c r="G27" s="11">
        <v>2.1</v>
      </c>
      <c r="H27" s="11">
        <v>25</v>
      </c>
      <c r="I27" s="11">
        <v>20</v>
      </c>
      <c r="J27" s="13">
        <v>0.5</v>
      </c>
      <c r="K27" s="13">
        <v>0.1</v>
      </c>
      <c r="L27" s="13">
        <f t="shared" si="0"/>
        <v>8.55</v>
      </c>
      <c r="M27" s="13">
        <f t="shared" si="1"/>
        <v>5.3</v>
      </c>
      <c r="N27" s="13">
        <f t="shared" si="2"/>
        <v>5.3</v>
      </c>
      <c r="O27" s="13">
        <f t="shared" si="3"/>
        <v>1.6</v>
      </c>
      <c r="P27" s="13">
        <f t="shared" si="4"/>
        <v>0.9</v>
      </c>
      <c r="Q27" s="13">
        <v>0.5</v>
      </c>
    </row>
    <row r="28" s="6" customFormat="1" spans="1:17">
      <c r="A28" s="10" t="s">
        <v>343</v>
      </c>
      <c r="B28" s="11" t="s">
        <v>285</v>
      </c>
      <c r="C28" s="11" t="s">
        <v>58</v>
      </c>
      <c r="D28" s="11">
        <v>5.15</v>
      </c>
      <c r="E28" s="11">
        <v>12.45</v>
      </c>
      <c r="F28" s="11">
        <v>0.5</v>
      </c>
      <c r="G28" s="11">
        <v>2.1</v>
      </c>
      <c r="H28" s="11">
        <v>25</v>
      </c>
      <c r="I28" s="11">
        <v>20</v>
      </c>
      <c r="J28" s="13">
        <v>0.5</v>
      </c>
      <c r="K28" s="13">
        <v>0.1</v>
      </c>
      <c r="L28" s="13">
        <f t="shared" si="0"/>
        <v>13.05</v>
      </c>
      <c r="M28" s="13">
        <f t="shared" si="1"/>
        <v>5.3</v>
      </c>
      <c r="N28" s="13">
        <f t="shared" si="2"/>
        <v>5.3</v>
      </c>
      <c r="O28" s="13">
        <f t="shared" si="3"/>
        <v>1.6</v>
      </c>
      <c r="P28" s="13">
        <f t="shared" si="4"/>
        <v>0.9</v>
      </c>
      <c r="Q28" s="13">
        <v>0.5</v>
      </c>
    </row>
    <row r="29" s="6" customFormat="1" spans="1:17">
      <c r="A29" s="10" t="s">
        <v>344</v>
      </c>
      <c r="B29" s="11" t="s">
        <v>285</v>
      </c>
      <c r="C29" s="11" t="s">
        <v>345</v>
      </c>
      <c r="D29" s="11">
        <v>5.45</v>
      </c>
      <c r="E29" s="11">
        <v>15.35</v>
      </c>
      <c r="F29" s="11">
        <v>0.5</v>
      </c>
      <c r="G29" s="11">
        <v>2.6</v>
      </c>
      <c r="H29" s="11">
        <v>25</v>
      </c>
      <c r="I29" s="11">
        <v>20</v>
      </c>
      <c r="J29" s="13">
        <v>0.5</v>
      </c>
      <c r="K29" s="13">
        <v>0.1</v>
      </c>
      <c r="L29" s="13">
        <f t="shared" si="0"/>
        <v>15.95</v>
      </c>
      <c r="M29" s="13">
        <f t="shared" si="1"/>
        <v>6.6</v>
      </c>
      <c r="N29" s="13">
        <f t="shared" si="2"/>
        <v>6.6</v>
      </c>
      <c r="O29" s="13">
        <f t="shared" si="3"/>
        <v>1.6</v>
      </c>
      <c r="P29" s="13">
        <f t="shared" si="4"/>
        <v>1.05</v>
      </c>
      <c r="Q29" s="13">
        <v>0.5</v>
      </c>
    </row>
    <row r="30" s="6" customFormat="1" spans="1:17">
      <c r="A30" s="10" t="s">
        <v>346</v>
      </c>
      <c r="B30" s="11" t="s">
        <v>285</v>
      </c>
      <c r="C30" s="11" t="s">
        <v>347</v>
      </c>
      <c r="D30" s="11">
        <v>5.45</v>
      </c>
      <c r="E30" s="11">
        <v>12.45</v>
      </c>
      <c r="F30" s="11">
        <v>0.5</v>
      </c>
      <c r="G30" s="11">
        <v>2.6</v>
      </c>
      <c r="H30" s="11">
        <v>25</v>
      </c>
      <c r="I30" s="11">
        <v>20</v>
      </c>
      <c r="J30" s="13">
        <v>0.5</v>
      </c>
      <c r="K30" s="13">
        <v>0.1</v>
      </c>
      <c r="L30" s="13">
        <f t="shared" si="0"/>
        <v>13.05</v>
      </c>
      <c r="M30" s="13">
        <f t="shared" si="1"/>
        <v>6.6</v>
      </c>
      <c r="N30" s="13">
        <f t="shared" si="2"/>
        <v>6.6</v>
      </c>
      <c r="O30" s="13">
        <f t="shared" si="3"/>
        <v>1.6</v>
      </c>
      <c r="P30" s="13">
        <f t="shared" si="4"/>
        <v>1.05</v>
      </c>
      <c r="Q30" s="13">
        <v>0.5</v>
      </c>
    </row>
    <row r="31" s="6" customFormat="1" spans="1:17">
      <c r="A31" s="10" t="s">
        <v>348</v>
      </c>
      <c r="B31" s="11" t="s">
        <v>285</v>
      </c>
      <c r="C31" s="11" t="s">
        <v>349</v>
      </c>
      <c r="D31" s="11">
        <v>5.45</v>
      </c>
      <c r="E31" s="11">
        <v>9.15</v>
      </c>
      <c r="F31" s="11">
        <v>0.5</v>
      </c>
      <c r="G31" s="11">
        <v>2.6</v>
      </c>
      <c r="H31" s="11">
        <v>25</v>
      </c>
      <c r="I31" s="11">
        <v>20</v>
      </c>
      <c r="J31" s="13">
        <v>0.5</v>
      </c>
      <c r="K31" s="13">
        <v>0.1</v>
      </c>
      <c r="L31" s="13">
        <f t="shared" si="0"/>
        <v>9.75</v>
      </c>
      <c r="M31" s="13">
        <f t="shared" si="1"/>
        <v>6.6</v>
      </c>
      <c r="N31" s="13">
        <f t="shared" si="2"/>
        <v>6.6</v>
      </c>
      <c r="O31" s="13">
        <f t="shared" si="3"/>
        <v>1.6</v>
      </c>
      <c r="P31" s="13">
        <f t="shared" si="4"/>
        <v>1.05</v>
      </c>
      <c r="Q31" s="13">
        <v>0.5</v>
      </c>
    </row>
    <row r="32" s="6" customFormat="1" spans="1:17">
      <c r="A32" s="10" t="s">
        <v>350</v>
      </c>
      <c r="B32" s="11" t="s">
        <v>285</v>
      </c>
      <c r="C32" s="11" t="s">
        <v>351</v>
      </c>
      <c r="D32" s="11">
        <v>5.45</v>
      </c>
      <c r="E32" s="11">
        <v>7.95</v>
      </c>
      <c r="F32" s="11">
        <v>0.5</v>
      </c>
      <c r="G32" s="11">
        <v>2.6</v>
      </c>
      <c r="H32" s="11">
        <v>25</v>
      </c>
      <c r="I32" s="11">
        <v>20</v>
      </c>
      <c r="J32" s="13">
        <v>0.5</v>
      </c>
      <c r="K32" s="13">
        <v>0.1</v>
      </c>
      <c r="L32" s="13">
        <f t="shared" si="0"/>
        <v>8.55</v>
      </c>
      <c r="M32" s="13">
        <f t="shared" si="1"/>
        <v>6.6</v>
      </c>
      <c r="N32" s="13">
        <f t="shared" si="2"/>
        <v>6.6</v>
      </c>
      <c r="O32" s="13">
        <f t="shared" si="3"/>
        <v>1.6</v>
      </c>
      <c r="P32" s="13">
        <f t="shared" si="4"/>
        <v>1.05</v>
      </c>
      <c r="Q32" s="13">
        <v>0.5</v>
      </c>
    </row>
    <row r="33" s="6" customFormat="1" spans="1:17">
      <c r="A33" s="10" t="s">
        <v>352</v>
      </c>
      <c r="B33" s="11" t="s">
        <v>353</v>
      </c>
      <c r="C33" s="11" t="s">
        <v>354</v>
      </c>
      <c r="D33" s="11">
        <v>6.3</v>
      </c>
      <c r="E33" s="11">
        <v>11</v>
      </c>
      <c r="F33" s="11">
        <v>0.5</v>
      </c>
      <c r="G33" s="11">
        <v>2.6</v>
      </c>
      <c r="H33" s="11">
        <v>25</v>
      </c>
      <c r="I33" s="11">
        <v>20</v>
      </c>
      <c r="J33" s="13">
        <v>0.5</v>
      </c>
      <c r="K33" s="13">
        <v>0.1</v>
      </c>
      <c r="L33" s="13">
        <f t="shared" si="0"/>
        <v>11.6</v>
      </c>
      <c r="M33" s="13">
        <f t="shared" si="1"/>
        <v>6.6</v>
      </c>
      <c r="N33" s="13">
        <f t="shared" si="2"/>
        <v>6.6</v>
      </c>
      <c r="O33" s="13">
        <f t="shared" si="3"/>
        <v>1.6</v>
      </c>
      <c r="P33" s="13">
        <f t="shared" si="4"/>
        <v>1.05</v>
      </c>
      <c r="Q33" s="13">
        <v>0.5</v>
      </c>
    </row>
    <row r="34" s="6" customFormat="1" spans="1:17">
      <c r="A34" s="10" t="s">
        <v>355</v>
      </c>
      <c r="B34" s="11" t="s">
        <v>356</v>
      </c>
      <c r="C34" s="11" t="s">
        <v>357</v>
      </c>
      <c r="D34" s="11">
        <v>6.3</v>
      </c>
      <c r="E34" s="11">
        <v>3.75</v>
      </c>
      <c r="F34" s="11">
        <v>0.5</v>
      </c>
      <c r="G34" s="11">
        <v>2.6</v>
      </c>
      <c r="H34" s="11">
        <v>25</v>
      </c>
      <c r="I34" s="11">
        <v>20</v>
      </c>
      <c r="J34" s="13">
        <v>0.33</v>
      </c>
      <c r="K34" s="13">
        <v>0.1</v>
      </c>
      <c r="L34" s="13">
        <f t="shared" si="0"/>
        <v>4.18</v>
      </c>
      <c r="M34" s="13">
        <f t="shared" si="1"/>
        <v>6.6</v>
      </c>
      <c r="N34" s="13">
        <f t="shared" si="2"/>
        <v>6.6</v>
      </c>
      <c r="O34" s="13">
        <f t="shared" si="3"/>
        <v>1.6</v>
      </c>
      <c r="P34" s="13">
        <f t="shared" si="4"/>
        <v>1.05</v>
      </c>
      <c r="Q34" s="13">
        <v>0.5</v>
      </c>
    </row>
    <row r="35" s="6" customFormat="1" spans="1:17">
      <c r="A35" s="10" t="s">
        <v>358</v>
      </c>
      <c r="B35" s="11" t="s">
        <v>285</v>
      </c>
      <c r="C35" s="11" t="s">
        <v>91</v>
      </c>
      <c r="D35" s="11">
        <v>6.3</v>
      </c>
      <c r="E35" s="11">
        <v>3.75</v>
      </c>
      <c r="F35" s="11">
        <v>0.5</v>
      </c>
      <c r="G35" s="11">
        <v>2.6</v>
      </c>
      <c r="H35" s="11">
        <v>25</v>
      </c>
      <c r="I35" s="11">
        <v>20</v>
      </c>
      <c r="J35" s="13">
        <v>0.33</v>
      </c>
      <c r="K35" s="13">
        <v>0.1</v>
      </c>
      <c r="L35" s="13">
        <f t="shared" si="0"/>
        <v>4.18</v>
      </c>
      <c r="M35" s="13">
        <f t="shared" si="1"/>
        <v>6.6</v>
      </c>
      <c r="N35" s="13">
        <f t="shared" si="2"/>
        <v>6.6</v>
      </c>
      <c r="O35" s="13">
        <f t="shared" si="3"/>
        <v>1.6</v>
      </c>
      <c r="P35" s="13">
        <f t="shared" si="4"/>
        <v>1.05</v>
      </c>
      <c r="Q35" s="13">
        <v>0.5</v>
      </c>
    </row>
    <row r="36" s="6" customFormat="1" spans="1:17">
      <c r="A36" s="10" t="s">
        <v>359</v>
      </c>
      <c r="B36" s="11" t="s">
        <v>285</v>
      </c>
      <c r="C36" s="11" t="s">
        <v>360</v>
      </c>
      <c r="D36" s="11">
        <v>6.3</v>
      </c>
      <c r="E36" s="11">
        <v>4.25</v>
      </c>
      <c r="F36" s="11">
        <v>0.5</v>
      </c>
      <c r="G36" s="11">
        <v>2.6</v>
      </c>
      <c r="H36" s="11">
        <v>25</v>
      </c>
      <c r="I36" s="11">
        <v>20</v>
      </c>
      <c r="J36" s="13">
        <v>0.33</v>
      </c>
      <c r="K36" s="13">
        <v>0.1</v>
      </c>
      <c r="L36" s="13">
        <f t="shared" si="0"/>
        <v>4.68</v>
      </c>
      <c r="M36" s="13">
        <f t="shared" si="1"/>
        <v>6.6</v>
      </c>
      <c r="N36" s="13">
        <f t="shared" si="2"/>
        <v>6.6</v>
      </c>
      <c r="O36" s="13">
        <f t="shared" si="3"/>
        <v>1.6</v>
      </c>
      <c r="P36" s="13">
        <f t="shared" si="4"/>
        <v>1.05</v>
      </c>
      <c r="Q36" s="13">
        <v>0.5</v>
      </c>
    </row>
    <row r="37" s="6" customFormat="1" spans="1:17">
      <c r="A37" s="10" t="s">
        <v>361</v>
      </c>
      <c r="B37" s="11" t="s">
        <v>362</v>
      </c>
      <c r="C37" s="11" t="s">
        <v>363</v>
      </c>
      <c r="D37" s="11">
        <v>6.3</v>
      </c>
      <c r="E37" s="11">
        <v>7.5</v>
      </c>
      <c r="F37" s="11">
        <v>0.5</v>
      </c>
      <c r="G37" s="11">
        <v>2.75</v>
      </c>
      <c r="H37" s="11">
        <v>25</v>
      </c>
      <c r="I37" s="11">
        <v>20</v>
      </c>
      <c r="J37" s="13">
        <v>0.5</v>
      </c>
      <c r="K37" s="13">
        <v>0.1</v>
      </c>
      <c r="L37" s="13">
        <f t="shared" si="0"/>
        <v>8.1</v>
      </c>
      <c r="M37" s="13">
        <f t="shared" si="1"/>
        <v>6.6</v>
      </c>
      <c r="N37" s="13">
        <f t="shared" si="2"/>
        <v>6.6</v>
      </c>
      <c r="O37" s="13">
        <f t="shared" si="3"/>
        <v>1.6</v>
      </c>
      <c r="P37" s="13">
        <f t="shared" si="4"/>
        <v>1.05</v>
      </c>
      <c r="Q37" s="13">
        <v>0.5</v>
      </c>
    </row>
    <row r="38" s="6" customFormat="1" spans="1:17">
      <c r="A38" s="10" t="s">
        <v>364</v>
      </c>
      <c r="B38" s="11" t="s">
        <v>285</v>
      </c>
      <c r="C38" s="11" t="s">
        <v>363</v>
      </c>
      <c r="D38" s="11">
        <v>6.5</v>
      </c>
      <c r="E38" s="11">
        <v>7.35</v>
      </c>
      <c r="F38" s="11">
        <v>0.5</v>
      </c>
      <c r="G38" s="11">
        <v>2.6</v>
      </c>
      <c r="H38" s="11">
        <v>25</v>
      </c>
      <c r="I38" s="11">
        <v>20</v>
      </c>
      <c r="J38" s="13">
        <v>0.5</v>
      </c>
      <c r="K38" s="13">
        <v>0.1</v>
      </c>
      <c r="L38" s="13">
        <f t="shared" si="0"/>
        <v>7.95</v>
      </c>
      <c r="M38" s="13">
        <f t="shared" si="1"/>
        <v>6.6</v>
      </c>
      <c r="N38" s="13">
        <f t="shared" si="2"/>
        <v>6.6</v>
      </c>
      <c r="O38" s="13">
        <f t="shared" si="3"/>
        <v>1.6</v>
      </c>
      <c r="P38" s="13">
        <f t="shared" si="4"/>
        <v>1.05</v>
      </c>
      <c r="Q38" s="13">
        <v>0.5</v>
      </c>
    </row>
    <row r="39" s="6" customFormat="1" spans="1:17">
      <c r="A39" s="10" t="s">
        <v>365</v>
      </c>
      <c r="B39" s="11" t="s">
        <v>285</v>
      </c>
      <c r="C39" s="11" t="s">
        <v>366</v>
      </c>
      <c r="D39" s="11">
        <v>6.5</v>
      </c>
      <c r="E39" s="11">
        <v>5.7</v>
      </c>
      <c r="F39" s="11">
        <v>0.5</v>
      </c>
      <c r="G39" s="11">
        <v>2.6</v>
      </c>
      <c r="H39" s="11">
        <v>25</v>
      </c>
      <c r="I39" s="11">
        <v>20</v>
      </c>
      <c r="J39" s="13">
        <v>0.5</v>
      </c>
      <c r="K39" s="13">
        <v>0.1</v>
      </c>
      <c r="L39" s="13">
        <f t="shared" si="0"/>
        <v>6.3</v>
      </c>
      <c r="M39" s="13">
        <f t="shared" si="1"/>
        <v>6.6</v>
      </c>
      <c r="N39" s="13">
        <f t="shared" si="2"/>
        <v>6.6</v>
      </c>
      <c r="O39" s="13">
        <f t="shared" si="3"/>
        <v>1.6</v>
      </c>
      <c r="P39" s="13">
        <f t="shared" si="4"/>
        <v>1.05</v>
      </c>
      <c r="Q39" s="13">
        <v>0.5</v>
      </c>
    </row>
    <row r="40" s="6" customFormat="1" spans="1:17">
      <c r="A40" s="10" t="s">
        <v>367</v>
      </c>
      <c r="B40" s="11" t="s">
        <v>285</v>
      </c>
      <c r="C40" s="11" t="s">
        <v>368</v>
      </c>
      <c r="D40" s="11">
        <v>6.5</v>
      </c>
      <c r="E40" s="11">
        <v>9.25</v>
      </c>
      <c r="F40" s="11">
        <v>0.5</v>
      </c>
      <c r="G40" s="11">
        <v>2.6</v>
      </c>
      <c r="H40" s="11">
        <v>25</v>
      </c>
      <c r="I40" s="11">
        <v>20</v>
      </c>
      <c r="J40" s="13">
        <v>0.5</v>
      </c>
      <c r="K40" s="13">
        <v>0.1</v>
      </c>
      <c r="L40" s="13">
        <f t="shared" si="0"/>
        <v>9.85</v>
      </c>
      <c r="M40" s="13">
        <f t="shared" si="1"/>
        <v>6.6</v>
      </c>
      <c r="N40" s="13">
        <f t="shared" si="2"/>
        <v>6.6</v>
      </c>
      <c r="O40" s="13">
        <f t="shared" si="3"/>
        <v>1.6</v>
      </c>
      <c r="P40" s="13">
        <f t="shared" si="4"/>
        <v>1.05</v>
      </c>
      <c r="Q40" s="13">
        <v>0.5</v>
      </c>
    </row>
    <row r="41" s="6" customFormat="1" spans="1:17">
      <c r="A41" s="10" t="s">
        <v>369</v>
      </c>
      <c r="B41" s="11" t="s">
        <v>285</v>
      </c>
      <c r="C41" s="11" t="s">
        <v>366</v>
      </c>
      <c r="D41" s="11">
        <v>6.5</v>
      </c>
      <c r="E41" s="11">
        <v>5.45</v>
      </c>
      <c r="F41" s="11">
        <v>0.5</v>
      </c>
      <c r="G41" s="11">
        <v>2.6</v>
      </c>
      <c r="H41" s="11">
        <v>25</v>
      </c>
      <c r="I41" s="11">
        <v>20</v>
      </c>
      <c r="J41" s="13">
        <v>0.5</v>
      </c>
      <c r="K41" s="13">
        <v>0.1</v>
      </c>
      <c r="L41" s="13">
        <f t="shared" si="0"/>
        <v>6.05</v>
      </c>
      <c r="M41" s="13">
        <f t="shared" si="1"/>
        <v>6.6</v>
      </c>
      <c r="N41" s="13">
        <f t="shared" si="2"/>
        <v>6.6</v>
      </c>
      <c r="O41" s="13">
        <f t="shared" si="3"/>
        <v>1.6</v>
      </c>
      <c r="P41" s="13">
        <f t="shared" si="4"/>
        <v>1.05</v>
      </c>
      <c r="Q41" s="13">
        <v>0.5</v>
      </c>
    </row>
    <row r="42" s="6" customFormat="1" spans="1:17">
      <c r="A42" s="10" t="s">
        <v>370</v>
      </c>
      <c r="B42" s="11" t="s">
        <v>362</v>
      </c>
      <c r="C42" s="11" t="s">
        <v>94</v>
      </c>
      <c r="D42" s="11">
        <v>6.5</v>
      </c>
      <c r="E42" s="11">
        <v>9.25</v>
      </c>
      <c r="F42" s="11">
        <v>0.5</v>
      </c>
      <c r="G42" s="11">
        <v>2.6</v>
      </c>
      <c r="H42" s="11">
        <v>25</v>
      </c>
      <c r="I42" s="11">
        <v>20</v>
      </c>
      <c r="J42" s="13">
        <v>0.5</v>
      </c>
      <c r="K42" s="13">
        <v>0.1</v>
      </c>
      <c r="L42" s="13">
        <f t="shared" si="0"/>
        <v>9.85</v>
      </c>
      <c r="M42" s="13">
        <f t="shared" si="1"/>
        <v>6.6</v>
      </c>
      <c r="N42" s="13">
        <f t="shared" si="2"/>
        <v>6.6</v>
      </c>
      <c r="O42" s="13">
        <f t="shared" si="3"/>
        <v>1.6</v>
      </c>
      <c r="P42" s="13">
        <f t="shared" si="4"/>
        <v>1.05</v>
      </c>
      <c r="Q42" s="13">
        <v>0.5</v>
      </c>
    </row>
    <row r="43" s="6" customFormat="1" spans="1:17">
      <c r="A43" s="10" t="s">
        <v>371</v>
      </c>
      <c r="B43" s="11" t="s">
        <v>285</v>
      </c>
      <c r="C43" s="11" t="s">
        <v>372</v>
      </c>
      <c r="D43" s="11">
        <v>6.5</v>
      </c>
      <c r="E43" s="11">
        <v>15.75</v>
      </c>
      <c r="F43" s="11">
        <v>0.5</v>
      </c>
      <c r="G43" s="11">
        <v>2.6</v>
      </c>
      <c r="H43" s="11">
        <v>25</v>
      </c>
      <c r="I43" s="11">
        <v>20</v>
      </c>
      <c r="J43" s="13">
        <v>0.5</v>
      </c>
      <c r="K43" s="13">
        <v>0.1</v>
      </c>
      <c r="L43" s="13">
        <f t="shared" si="0"/>
        <v>16.35</v>
      </c>
      <c r="M43" s="13">
        <f t="shared" si="1"/>
        <v>6.6</v>
      </c>
      <c r="N43" s="13">
        <f t="shared" si="2"/>
        <v>6.6</v>
      </c>
      <c r="O43" s="13">
        <f t="shared" si="3"/>
        <v>1.6</v>
      </c>
      <c r="P43" s="13">
        <f t="shared" si="4"/>
        <v>1.05</v>
      </c>
      <c r="Q43" s="13">
        <v>0.5</v>
      </c>
    </row>
    <row r="44" s="6" customFormat="1" spans="1:17">
      <c r="A44" s="10" t="s">
        <v>373</v>
      </c>
      <c r="B44" s="11" t="s">
        <v>285</v>
      </c>
      <c r="C44" s="11" t="s">
        <v>374</v>
      </c>
      <c r="D44" s="11">
        <v>6.5</v>
      </c>
      <c r="E44" s="11">
        <v>12.55</v>
      </c>
      <c r="F44" s="11">
        <v>0.5</v>
      </c>
      <c r="G44" s="11">
        <v>2.6</v>
      </c>
      <c r="H44" s="11">
        <v>25</v>
      </c>
      <c r="I44" s="11">
        <v>20</v>
      </c>
      <c r="J44" s="13">
        <v>0.5</v>
      </c>
      <c r="K44" s="13">
        <v>0.1</v>
      </c>
      <c r="L44" s="13">
        <f t="shared" si="0"/>
        <v>13.15</v>
      </c>
      <c r="M44" s="13">
        <f t="shared" si="1"/>
        <v>6.6</v>
      </c>
      <c r="N44" s="13">
        <f t="shared" si="2"/>
        <v>6.6</v>
      </c>
      <c r="O44" s="13">
        <f t="shared" si="3"/>
        <v>1.6</v>
      </c>
      <c r="P44" s="13">
        <f t="shared" si="4"/>
        <v>1.05</v>
      </c>
      <c r="Q44" s="13">
        <v>0.5</v>
      </c>
    </row>
    <row r="45" s="6" customFormat="1" spans="1:17">
      <c r="A45" s="10" t="s">
        <v>375</v>
      </c>
      <c r="B45" s="11" t="s">
        <v>285</v>
      </c>
      <c r="C45" s="11" t="s">
        <v>128</v>
      </c>
      <c r="D45" s="11">
        <v>6.5</v>
      </c>
      <c r="E45" s="11">
        <v>11.65</v>
      </c>
      <c r="F45" s="11">
        <v>0.5</v>
      </c>
      <c r="G45" s="11">
        <v>2.6</v>
      </c>
      <c r="H45" s="11">
        <v>25</v>
      </c>
      <c r="I45" s="11">
        <v>20</v>
      </c>
      <c r="J45" s="13">
        <v>0.5</v>
      </c>
      <c r="K45" s="13">
        <v>0.1</v>
      </c>
      <c r="L45" s="13">
        <f t="shared" si="0"/>
        <v>12.25</v>
      </c>
      <c r="M45" s="13">
        <f t="shared" si="1"/>
        <v>6.6</v>
      </c>
      <c r="N45" s="13">
        <f t="shared" si="2"/>
        <v>6.6</v>
      </c>
      <c r="O45" s="13">
        <f t="shared" si="3"/>
        <v>1.6</v>
      </c>
      <c r="P45" s="13">
        <f t="shared" si="4"/>
        <v>1.05</v>
      </c>
      <c r="Q45" s="13">
        <v>0.5</v>
      </c>
    </row>
    <row r="46" s="6" customFormat="1" spans="1:17">
      <c r="A46" s="10" t="s">
        <v>376</v>
      </c>
      <c r="B46" s="11" t="s">
        <v>285</v>
      </c>
      <c r="C46" s="11" t="s">
        <v>377</v>
      </c>
      <c r="D46" s="11">
        <v>6.5</v>
      </c>
      <c r="E46" s="11">
        <v>8.25</v>
      </c>
      <c r="F46" s="11">
        <v>0.5</v>
      </c>
      <c r="G46" s="11">
        <v>2.6</v>
      </c>
      <c r="H46" s="11">
        <v>25</v>
      </c>
      <c r="I46" s="11">
        <v>20</v>
      </c>
      <c r="J46" s="13">
        <v>0.5</v>
      </c>
      <c r="K46" s="13">
        <v>0.1</v>
      </c>
      <c r="L46" s="13">
        <f t="shared" si="0"/>
        <v>8.85</v>
      </c>
      <c r="M46" s="13">
        <f t="shared" si="1"/>
        <v>6.6</v>
      </c>
      <c r="N46" s="13">
        <f t="shared" si="2"/>
        <v>6.6</v>
      </c>
      <c r="O46" s="13">
        <f t="shared" si="3"/>
        <v>1.6</v>
      </c>
      <c r="P46" s="13">
        <f t="shared" si="4"/>
        <v>1.05</v>
      </c>
      <c r="Q46" s="13">
        <v>0.5</v>
      </c>
    </row>
    <row r="47" s="6" customFormat="1" spans="1:17">
      <c r="A47" s="10" t="s">
        <v>378</v>
      </c>
      <c r="B47" s="11" t="s">
        <v>285</v>
      </c>
      <c r="C47" s="11" t="s">
        <v>99</v>
      </c>
      <c r="D47" s="11">
        <v>6.5</v>
      </c>
      <c r="E47" s="11">
        <v>9.25</v>
      </c>
      <c r="F47" s="11">
        <v>0.5</v>
      </c>
      <c r="G47" s="11">
        <v>2.6</v>
      </c>
      <c r="H47" s="11">
        <v>25</v>
      </c>
      <c r="I47" s="11">
        <v>20</v>
      </c>
      <c r="J47" s="13">
        <v>0.5</v>
      </c>
      <c r="K47" s="13">
        <v>0.1</v>
      </c>
      <c r="L47" s="13">
        <f t="shared" si="0"/>
        <v>9.85</v>
      </c>
      <c r="M47" s="13">
        <f t="shared" si="1"/>
        <v>6.6</v>
      </c>
      <c r="N47" s="13">
        <f t="shared" si="2"/>
        <v>6.6</v>
      </c>
      <c r="O47" s="13">
        <f t="shared" si="3"/>
        <v>1.6</v>
      </c>
      <c r="P47" s="13">
        <f t="shared" si="4"/>
        <v>1.05</v>
      </c>
      <c r="Q47" s="13">
        <v>0.5</v>
      </c>
    </row>
    <row r="48" s="6" customFormat="1" spans="1:17">
      <c r="A48" s="10" t="s">
        <v>379</v>
      </c>
      <c r="B48" s="11" t="s">
        <v>285</v>
      </c>
      <c r="C48" s="11" t="s">
        <v>87</v>
      </c>
      <c r="D48" s="11">
        <v>6.5</v>
      </c>
      <c r="E48" s="11">
        <v>8.25</v>
      </c>
      <c r="F48" s="11">
        <v>0.5</v>
      </c>
      <c r="G48" s="11">
        <v>2.6</v>
      </c>
      <c r="H48" s="11">
        <v>25</v>
      </c>
      <c r="I48" s="11">
        <v>20</v>
      </c>
      <c r="J48" s="13">
        <v>0.5</v>
      </c>
      <c r="K48" s="13">
        <v>0.1</v>
      </c>
      <c r="L48" s="13">
        <f t="shared" si="0"/>
        <v>8.85</v>
      </c>
      <c r="M48" s="13">
        <f t="shared" si="1"/>
        <v>6.6</v>
      </c>
      <c r="N48" s="13">
        <f t="shared" si="2"/>
        <v>6.6</v>
      </c>
      <c r="O48" s="13">
        <f t="shared" si="3"/>
        <v>1.6</v>
      </c>
      <c r="P48" s="13">
        <f t="shared" si="4"/>
        <v>1.05</v>
      </c>
      <c r="Q48" s="13">
        <v>0.5</v>
      </c>
    </row>
    <row r="49" s="6" customFormat="1" spans="1:17">
      <c r="A49" s="10" t="s">
        <v>380</v>
      </c>
      <c r="B49" s="11" t="s">
        <v>285</v>
      </c>
      <c r="C49" s="11" t="s">
        <v>363</v>
      </c>
      <c r="D49" s="11">
        <v>6.5</v>
      </c>
      <c r="E49" s="11">
        <v>7.85</v>
      </c>
      <c r="F49" s="11">
        <v>0.5</v>
      </c>
      <c r="G49" s="11">
        <v>2.6</v>
      </c>
      <c r="H49" s="11">
        <v>25</v>
      </c>
      <c r="I49" s="11">
        <v>20</v>
      </c>
      <c r="J49" s="13">
        <v>0.5</v>
      </c>
      <c r="K49" s="13">
        <v>0.1</v>
      </c>
      <c r="L49" s="13">
        <f t="shared" si="0"/>
        <v>8.45</v>
      </c>
      <c r="M49" s="13">
        <f t="shared" si="1"/>
        <v>6.6</v>
      </c>
      <c r="N49" s="13">
        <f t="shared" si="2"/>
        <v>6.6</v>
      </c>
      <c r="O49" s="13">
        <f t="shared" si="3"/>
        <v>1.6</v>
      </c>
      <c r="P49" s="13">
        <f t="shared" si="4"/>
        <v>1.05</v>
      </c>
      <c r="Q49" s="13">
        <v>0.5</v>
      </c>
    </row>
    <row r="50" s="6" customFormat="1" spans="1:17">
      <c r="A50" s="10" t="s">
        <v>381</v>
      </c>
      <c r="B50" s="11" t="s">
        <v>285</v>
      </c>
      <c r="C50" s="11" t="s">
        <v>366</v>
      </c>
      <c r="D50" s="11">
        <v>6.5</v>
      </c>
      <c r="E50" s="11">
        <v>5.6</v>
      </c>
      <c r="F50" s="11">
        <v>0.5</v>
      </c>
      <c r="G50" s="11">
        <v>2.6</v>
      </c>
      <c r="H50" s="11">
        <v>25</v>
      </c>
      <c r="I50" s="11">
        <v>20</v>
      </c>
      <c r="J50" s="13">
        <v>0.5</v>
      </c>
      <c r="K50" s="13">
        <v>0.1</v>
      </c>
      <c r="L50" s="13">
        <f t="shared" si="0"/>
        <v>6.2</v>
      </c>
      <c r="M50" s="13">
        <f t="shared" si="1"/>
        <v>6.6</v>
      </c>
      <c r="N50" s="13">
        <f t="shared" si="2"/>
        <v>6.6</v>
      </c>
      <c r="O50" s="13">
        <f t="shared" si="3"/>
        <v>1.6</v>
      </c>
      <c r="P50" s="13">
        <f t="shared" si="4"/>
        <v>1.05</v>
      </c>
      <c r="Q50" s="13">
        <v>0.5</v>
      </c>
    </row>
    <row r="51" s="6" customFormat="1" spans="1:17">
      <c r="A51" s="10" t="s">
        <v>382</v>
      </c>
      <c r="B51" s="11" t="s">
        <v>383</v>
      </c>
      <c r="C51" s="11" t="s">
        <v>384</v>
      </c>
      <c r="D51" s="11">
        <v>6.5</v>
      </c>
      <c r="E51" s="11">
        <v>5.7</v>
      </c>
      <c r="F51" s="11">
        <v>0.5</v>
      </c>
      <c r="G51" s="11">
        <v>2.6</v>
      </c>
      <c r="H51" s="11">
        <v>25</v>
      </c>
      <c r="I51" s="11">
        <v>20</v>
      </c>
      <c r="J51" s="13">
        <v>0.5</v>
      </c>
      <c r="K51" s="13">
        <v>0.1</v>
      </c>
      <c r="L51" s="13">
        <f t="shared" si="0"/>
        <v>6.3</v>
      </c>
      <c r="M51" s="13">
        <f t="shared" si="1"/>
        <v>6.6</v>
      </c>
      <c r="N51" s="13">
        <f t="shared" si="2"/>
        <v>6.6</v>
      </c>
      <c r="O51" s="13">
        <f t="shared" si="3"/>
        <v>1.6</v>
      </c>
      <c r="P51" s="13">
        <f t="shared" si="4"/>
        <v>1.05</v>
      </c>
      <c r="Q51" s="13">
        <v>0.5</v>
      </c>
    </row>
    <row r="52" s="6" customFormat="1" spans="1:17">
      <c r="A52" s="10" t="s">
        <v>385</v>
      </c>
      <c r="B52" s="11" t="s">
        <v>285</v>
      </c>
      <c r="C52" s="11" t="s">
        <v>126</v>
      </c>
      <c r="D52" s="11">
        <v>6.5</v>
      </c>
      <c r="E52" s="11">
        <v>8.25</v>
      </c>
      <c r="F52" s="11">
        <v>0.5</v>
      </c>
      <c r="G52" s="11">
        <v>2.6</v>
      </c>
      <c r="H52" s="11">
        <v>25</v>
      </c>
      <c r="I52" s="11">
        <v>20</v>
      </c>
      <c r="J52" s="13">
        <v>0.5</v>
      </c>
      <c r="K52" s="13">
        <v>0.1</v>
      </c>
      <c r="L52" s="13">
        <f t="shared" si="0"/>
        <v>8.85</v>
      </c>
      <c r="M52" s="13">
        <f t="shared" si="1"/>
        <v>6.6</v>
      </c>
      <c r="N52" s="13">
        <f t="shared" si="2"/>
        <v>6.6</v>
      </c>
      <c r="O52" s="13">
        <f t="shared" si="3"/>
        <v>1.6</v>
      </c>
      <c r="P52" s="13">
        <f t="shared" si="4"/>
        <v>1.05</v>
      </c>
      <c r="Q52" s="13">
        <v>0.5</v>
      </c>
    </row>
    <row r="53" s="6" customFormat="1" spans="1:17">
      <c r="A53" s="10" t="s">
        <v>386</v>
      </c>
      <c r="B53" s="11" t="s">
        <v>299</v>
      </c>
      <c r="C53" s="11" t="s">
        <v>126</v>
      </c>
      <c r="D53" s="11">
        <v>6.5</v>
      </c>
      <c r="E53" s="11">
        <v>11.65</v>
      </c>
      <c r="F53" s="11">
        <v>0.5</v>
      </c>
      <c r="G53" s="11">
        <v>2.6</v>
      </c>
      <c r="H53" s="11">
        <v>25</v>
      </c>
      <c r="I53" s="11">
        <v>20</v>
      </c>
      <c r="J53" s="13">
        <v>0.5</v>
      </c>
      <c r="K53" s="13">
        <v>0.1</v>
      </c>
      <c r="L53" s="13">
        <f t="shared" si="0"/>
        <v>12.25</v>
      </c>
      <c r="M53" s="13">
        <f t="shared" si="1"/>
        <v>6.6</v>
      </c>
      <c r="N53" s="13">
        <f t="shared" si="2"/>
        <v>6.6</v>
      </c>
      <c r="O53" s="13">
        <f t="shared" si="3"/>
        <v>1.6</v>
      </c>
      <c r="P53" s="13">
        <f t="shared" si="4"/>
        <v>1.05</v>
      </c>
      <c r="Q53" s="13">
        <v>0.5</v>
      </c>
    </row>
    <row r="54" s="6" customFormat="1" spans="1:17">
      <c r="A54" s="10" t="s">
        <v>387</v>
      </c>
      <c r="B54" s="11" t="s">
        <v>299</v>
      </c>
      <c r="C54" s="11" t="s">
        <v>126</v>
      </c>
      <c r="D54" s="11">
        <v>6.5</v>
      </c>
      <c r="E54" s="11">
        <v>12.55</v>
      </c>
      <c r="F54" s="11">
        <v>0.5</v>
      </c>
      <c r="G54" s="11">
        <v>2.6</v>
      </c>
      <c r="H54" s="11">
        <v>25</v>
      </c>
      <c r="I54" s="11">
        <v>20</v>
      </c>
      <c r="J54" s="13">
        <v>0.5</v>
      </c>
      <c r="K54" s="13">
        <v>0.1</v>
      </c>
      <c r="L54" s="13">
        <f t="shared" si="0"/>
        <v>13.15</v>
      </c>
      <c r="M54" s="13">
        <f t="shared" si="1"/>
        <v>6.6</v>
      </c>
      <c r="N54" s="13">
        <f t="shared" si="2"/>
        <v>6.6</v>
      </c>
      <c r="O54" s="13">
        <f t="shared" si="3"/>
        <v>1.6</v>
      </c>
      <c r="P54" s="13">
        <f t="shared" si="4"/>
        <v>1.05</v>
      </c>
      <c r="Q54" s="13">
        <v>0.5</v>
      </c>
    </row>
    <row r="55" s="6" customFormat="1" spans="1:17">
      <c r="A55" s="10" t="s">
        <v>388</v>
      </c>
      <c r="B55" s="11" t="s">
        <v>362</v>
      </c>
      <c r="C55" s="11" t="s">
        <v>168</v>
      </c>
      <c r="D55" s="11">
        <v>8</v>
      </c>
      <c r="E55" s="11">
        <v>12.6</v>
      </c>
      <c r="F55" s="11">
        <v>0.6</v>
      </c>
      <c r="G55" s="11">
        <v>3.8</v>
      </c>
      <c r="H55" s="11">
        <v>25</v>
      </c>
      <c r="I55" s="11">
        <v>20</v>
      </c>
      <c r="J55" s="13">
        <v>0.5</v>
      </c>
      <c r="K55" s="13">
        <v>0.1</v>
      </c>
      <c r="L55" s="13">
        <f t="shared" si="0"/>
        <v>13.2</v>
      </c>
      <c r="M55" s="13">
        <f t="shared" si="1"/>
        <v>8.3</v>
      </c>
      <c r="N55" s="13">
        <f t="shared" si="2"/>
        <v>8.3</v>
      </c>
      <c r="O55" s="13">
        <f t="shared" si="3"/>
        <v>1.9</v>
      </c>
      <c r="P55" s="13">
        <f t="shared" si="4"/>
        <v>1.1</v>
      </c>
      <c r="Q55" s="13">
        <v>0.5</v>
      </c>
    </row>
    <row r="56" s="6" customFormat="1" spans="1:17">
      <c r="A56" s="10" t="s">
        <v>389</v>
      </c>
      <c r="B56" s="11" t="s">
        <v>362</v>
      </c>
      <c r="C56" s="11" t="s">
        <v>390</v>
      </c>
      <c r="D56" s="11">
        <v>8</v>
      </c>
      <c r="E56" s="11">
        <v>10.1</v>
      </c>
      <c r="F56" s="11">
        <v>0.6</v>
      </c>
      <c r="G56" s="11">
        <v>3.8</v>
      </c>
      <c r="H56" s="11">
        <v>25</v>
      </c>
      <c r="I56" s="11">
        <v>20</v>
      </c>
      <c r="J56" s="13">
        <v>0.5</v>
      </c>
      <c r="K56" s="13">
        <v>0.1</v>
      </c>
      <c r="L56" s="13">
        <f t="shared" si="0"/>
        <v>10.7</v>
      </c>
      <c r="M56" s="13">
        <f t="shared" si="1"/>
        <v>8.3</v>
      </c>
      <c r="N56" s="13">
        <f t="shared" si="2"/>
        <v>8.3</v>
      </c>
      <c r="O56" s="13">
        <f t="shared" si="3"/>
        <v>1.9</v>
      </c>
      <c r="P56" s="13">
        <f t="shared" si="4"/>
        <v>1.1</v>
      </c>
      <c r="Q56" s="13">
        <v>0.5</v>
      </c>
    </row>
    <row r="57" s="6" customFormat="1" spans="1:17">
      <c r="A57" s="10" t="s">
        <v>391</v>
      </c>
      <c r="B57" s="11" t="s">
        <v>330</v>
      </c>
      <c r="C57" s="11" t="s">
        <v>390</v>
      </c>
      <c r="D57" s="11">
        <v>8</v>
      </c>
      <c r="E57" s="11">
        <v>9.5</v>
      </c>
      <c r="F57" s="11">
        <v>0.6</v>
      </c>
      <c r="G57" s="11">
        <v>3.8</v>
      </c>
      <c r="H57" s="11">
        <v>25</v>
      </c>
      <c r="I57" s="11">
        <v>20</v>
      </c>
      <c r="J57" s="13">
        <v>0.5</v>
      </c>
      <c r="K57" s="13">
        <v>0.1</v>
      </c>
      <c r="L57" s="13">
        <f t="shared" si="0"/>
        <v>10.1</v>
      </c>
      <c r="M57" s="13">
        <f t="shared" si="1"/>
        <v>8.3</v>
      </c>
      <c r="N57" s="13">
        <f t="shared" si="2"/>
        <v>8.3</v>
      </c>
      <c r="O57" s="13">
        <f t="shared" si="3"/>
        <v>1.9</v>
      </c>
      <c r="P57" s="13">
        <f t="shared" si="4"/>
        <v>1.1</v>
      </c>
      <c r="Q57" s="13">
        <v>0.5</v>
      </c>
    </row>
    <row r="58" s="6" customFormat="1" spans="1:17">
      <c r="A58" s="10" t="s">
        <v>392</v>
      </c>
      <c r="B58" s="11" t="s">
        <v>285</v>
      </c>
      <c r="C58" s="11" t="s">
        <v>393</v>
      </c>
      <c r="D58" s="11">
        <v>8.2</v>
      </c>
      <c r="E58" s="11">
        <v>16.6</v>
      </c>
      <c r="F58" s="11">
        <v>0.6</v>
      </c>
      <c r="G58" s="11">
        <v>3.5</v>
      </c>
      <c r="H58" s="11">
        <v>25</v>
      </c>
      <c r="I58" s="11">
        <v>20</v>
      </c>
      <c r="J58" s="13">
        <v>0.5</v>
      </c>
      <c r="K58" s="13">
        <v>0.1</v>
      </c>
      <c r="L58" s="13">
        <f t="shared" si="0"/>
        <v>17.2</v>
      </c>
      <c r="M58" s="13">
        <f t="shared" si="1"/>
        <v>8.3</v>
      </c>
      <c r="N58" s="13">
        <f t="shared" si="2"/>
        <v>8.3</v>
      </c>
      <c r="O58" s="13">
        <f t="shared" si="3"/>
        <v>1.9</v>
      </c>
      <c r="P58" s="13">
        <f t="shared" si="4"/>
        <v>1.1</v>
      </c>
      <c r="Q58" s="13">
        <v>0.5</v>
      </c>
    </row>
    <row r="59" s="6" customFormat="1" spans="1:17">
      <c r="A59" s="10" t="s">
        <v>394</v>
      </c>
      <c r="B59" s="11" t="s">
        <v>285</v>
      </c>
      <c r="C59" s="11" t="s">
        <v>142</v>
      </c>
      <c r="D59" s="11">
        <v>8.2</v>
      </c>
      <c r="E59" s="11">
        <v>8.5</v>
      </c>
      <c r="F59" s="11">
        <v>0.6</v>
      </c>
      <c r="G59" s="11">
        <v>3.65</v>
      </c>
      <c r="H59" s="11">
        <v>25</v>
      </c>
      <c r="I59" s="11">
        <v>20</v>
      </c>
      <c r="J59" s="13">
        <v>0.5</v>
      </c>
      <c r="K59" s="13">
        <v>0.1</v>
      </c>
      <c r="L59" s="13">
        <f t="shared" si="0"/>
        <v>9.1</v>
      </c>
      <c r="M59" s="13">
        <f t="shared" si="1"/>
        <v>8.3</v>
      </c>
      <c r="N59" s="13">
        <f t="shared" si="2"/>
        <v>8.3</v>
      </c>
      <c r="O59" s="13">
        <f t="shared" si="3"/>
        <v>1.9</v>
      </c>
      <c r="P59" s="13">
        <f t="shared" si="4"/>
        <v>1.1</v>
      </c>
      <c r="Q59" s="13">
        <v>0.5</v>
      </c>
    </row>
    <row r="60" s="6" customFormat="1" spans="1:17">
      <c r="A60" s="10" t="s">
        <v>395</v>
      </c>
      <c r="B60" s="11" t="s">
        <v>285</v>
      </c>
      <c r="C60" s="11" t="s">
        <v>168</v>
      </c>
      <c r="D60" s="11">
        <v>8.2</v>
      </c>
      <c r="E60" s="11">
        <v>11.9</v>
      </c>
      <c r="F60" s="11">
        <v>0.6</v>
      </c>
      <c r="G60" s="11">
        <v>3.65</v>
      </c>
      <c r="H60" s="11">
        <v>25</v>
      </c>
      <c r="I60" s="11">
        <v>20</v>
      </c>
      <c r="J60" s="13">
        <v>0.5</v>
      </c>
      <c r="K60" s="13">
        <v>0.1</v>
      </c>
      <c r="L60" s="13">
        <f t="shared" si="0"/>
        <v>12.5</v>
      </c>
      <c r="M60" s="13">
        <f t="shared" si="1"/>
        <v>8.3</v>
      </c>
      <c r="N60" s="13">
        <f t="shared" si="2"/>
        <v>8.3</v>
      </c>
      <c r="O60" s="13">
        <f t="shared" si="3"/>
        <v>1.9</v>
      </c>
      <c r="P60" s="13">
        <f t="shared" si="4"/>
        <v>1.1</v>
      </c>
      <c r="Q60" s="13">
        <v>0.5</v>
      </c>
    </row>
    <row r="61" s="6" customFormat="1" spans="1:17">
      <c r="A61" s="10" t="s">
        <v>396</v>
      </c>
      <c r="B61" s="11" t="s">
        <v>285</v>
      </c>
      <c r="C61" s="11" t="s">
        <v>397</v>
      </c>
      <c r="D61" s="11">
        <v>8.2</v>
      </c>
      <c r="E61" s="11">
        <v>14.5</v>
      </c>
      <c r="F61" s="11">
        <v>0.6</v>
      </c>
      <c r="G61" s="11">
        <v>3.65</v>
      </c>
      <c r="H61" s="11">
        <v>25</v>
      </c>
      <c r="I61" s="11">
        <v>20</v>
      </c>
      <c r="J61" s="13">
        <v>0.5</v>
      </c>
      <c r="K61" s="13">
        <v>0.1</v>
      </c>
      <c r="L61" s="13">
        <f t="shared" si="0"/>
        <v>15.1</v>
      </c>
      <c r="M61" s="13">
        <f t="shared" si="1"/>
        <v>8.3</v>
      </c>
      <c r="N61" s="13">
        <f t="shared" si="2"/>
        <v>8.3</v>
      </c>
      <c r="O61" s="13">
        <f t="shared" si="3"/>
        <v>1.9</v>
      </c>
      <c r="P61" s="13">
        <f t="shared" si="4"/>
        <v>1.1</v>
      </c>
      <c r="Q61" s="13">
        <v>0.5</v>
      </c>
    </row>
    <row r="62" s="6" customFormat="1" spans="1:17">
      <c r="A62" s="10" t="s">
        <v>398</v>
      </c>
      <c r="B62" s="11" t="s">
        <v>285</v>
      </c>
      <c r="C62" s="11" t="s">
        <v>399</v>
      </c>
      <c r="D62" s="11">
        <v>8.2</v>
      </c>
      <c r="E62" s="11">
        <v>7.5</v>
      </c>
      <c r="F62" s="11">
        <v>0.6</v>
      </c>
      <c r="G62" s="11">
        <v>3.65</v>
      </c>
      <c r="H62" s="11">
        <v>25</v>
      </c>
      <c r="I62" s="11">
        <v>20</v>
      </c>
      <c r="J62" s="13">
        <v>0.5</v>
      </c>
      <c r="K62" s="13">
        <v>0.1</v>
      </c>
      <c r="L62" s="13">
        <f t="shared" si="0"/>
        <v>8.1</v>
      </c>
      <c r="M62" s="13">
        <f t="shared" si="1"/>
        <v>8.3</v>
      </c>
      <c r="N62" s="13">
        <f t="shared" si="2"/>
        <v>8.3</v>
      </c>
      <c r="O62" s="13">
        <f t="shared" si="3"/>
        <v>1.9</v>
      </c>
      <c r="P62" s="13">
        <f t="shared" si="4"/>
        <v>1.1</v>
      </c>
      <c r="Q62" s="13">
        <v>0.5</v>
      </c>
    </row>
    <row r="63" s="6" customFormat="1" spans="1:17">
      <c r="A63" s="10" t="s">
        <v>400</v>
      </c>
      <c r="B63" s="11" t="s">
        <v>285</v>
      </c>
      <c r="C63" s="11" t="s">
        <v>393</v>
      </c>
      <c r="D63" s="11">
        <v>8.2</v>
      </c>
      <c r="E63" s="11">
        <v>15.9</v>
      </c>
      <c r="F63" s="11">
        <v>0.6</v>
      </c>
      <c r="G63" s="11">
        <v>3.65</v>
      </c>
      <c r="H63" s="11">
        <v>25</v>
      </c>
      <c r="I63" s="11">
        <v>20</v>
      </c>
      <c r="J63" s="13">
        <v>0.5</v>
      </c>
      <c r="K63" s="13">
        <v>0.1</v>
      </c>
      <c r="L63" s="13">
        <f t="shared" si="0"/>
        <v>16.5</v>
      </c>
      <c r="M63" s="13">
        <f t="shared" si="1"/>
        <v>8.3</v>
      </c>
      <c r="N63" s="13">
        <f t="shared" si="2"/>
        <v>8.3</v>
      </c>
      <c r="O63" s="13">
        <f t="shared" si="3"/>
        <v>1.9</v>
      </c>
      <c r="P63" s="13">
        <f t="shared" si="4"/>
        <v>1.1</v>
      </c>
      <c r="Q63" s="13">
        <v>0.5</v>
      </c>
    </row>
    <row r="64" s="6" customFormat="1" spans="1:17">
      <c r="A64" s="10" t="s">
        <v>401</v>
      </c>
      <c r="B64" s="11" t="s">
        <v>285</v>
      </c>
      <c r="C64" s="11" t="s">
        <v>154</v>
      </c>
      <c r="D64" s="11">
        <v>8.2</v>
      </c>
      <c r="E64" s="11">
        <v>8.5</v>
      </c>
      <c r="F64" s="11">
        <v>0.6</v>
      </c>
      <c r="G64" s="11">
        <v>3.65</v>
      </c>
      <c r="H64" s="11">
        <v>25</v>
      </c>
      <c r="I64" s="11">
        <v>20</v>
      </c>
      <c r="J64" s="13">
        <v>0.5</v>
      </c>
      <c r="K64" s="13">
        <v>0.1</v>
      </c>
      <c r="L64" s="13">
        <f t="shared" si="0"/>
        <v>9.1</v>
      </c>
      <c r="M64" s="13">
        <f t="shared" si="1"/>
        <v>8.3</v>
      </c>
      <c r="N64" s="13">
        <f t="shared" si="2"/>
        <v>8.3</v>
      </c>
      <c r="O64" s="13">
        <f t="shared" si="3"/>
        <v>1.9</v>
      </c>
      <c r="P64" s="13">
        <f t="shared" si="4"/>
        <v>1.1</v>
      </c>
      <c r="Q64" s="13">
        <v>0.5</v>
      </c>
    </row>
    <row r="65" s="6" customFormat="1" spans="1:17">
      <c r="A65" s="10" t="s">
        <v>402</v>
      </c>
      <c r="B65" s="11" t="s">
        <v>285</v>
      </c>
      <c r="C65" s="11" t="s">
        <v>403</v>
      </c>
      <c r="D65" s="11">
        <v>8.2</v>
      </c>
      <c r="E65" s="11">
        <v>12.9</v>
      </c>
      <c r="F65" s="11">
        <v>0.6</v>
      </c>
      <c r="G65" s="11">
        <v>3.65</v>
      </c>
      <c r="H65" s="11">
        <v>25</v>
      </c>
      <c r="I65" s="11">
        <v>20</v>
      </c>
      <c r="J65" s="13">
        <v>0.5</v>
      </c>
      <c r="K65" s="13">
        <v>0.1</v>
      </c>
      <c r="L65" s="13">
        <f t="shared" si="0"/>
        <v>13.5</v>
      </c>
      <c r="M65" s="13">
        <f t="shared" si="1"/>
        <v>8.3</v>
      </c>
      <c r="N65" s="13">
        <f t="shared" si="2"/>
        <v>8.3</v>
      </c>
      <c r="O65" s="13">
        <f t="shared" si="3"/>
        <v>1.9</v>
      </c>
      <c r="P65" s="13">
        <f t="shared" si="4"/>
        <v>1.1</v>
      </c>
      <c r="Q65" s="13">
        <v>0.5</v>
      </c>
    </row>
    <row r="66" s="6" customFormat="1" spans="1:17">
      <c r="A66" s="10" t="s">
        <v>404</v>
      </c>
      <c r="B66" s="11" t="s">
        <v>285</v>
      </c>
      <c r="C66" s="11" t="s">
        <v>405</v>
      </c>
      <c r="D66" s="11">
        <v>8.2</v>
      </c>
      <c r="E66" s="11">
        <v>6</v>
      </c>
      <c r="F66" s="11">
        <v>0.6</v>
      </c>
      <c r="G66" s="11">
        <v>3.65</v>
      </c>
      <c r="H66" s="11">
        <v>25</v>
      </c>
      <c r="I66" s="11">
        <v>20</v>
      </c>
      <c r="J66" s="13">
        <v>0.5</v>
      </c>
      <c r="K66" s="13">
        <v>0.1</v>
      </c>
      <c r="L66" s="13">
        <f t="shared" ref="L66:L109" si="5">E66+J66+K66</f>
        <v>6.6</v>
      </c>
      <c r="M66" s="13">
        <f t="shared" ref="M66:M109" si="6">VLOOKUP(D66,S:AC,2,FALSE)</f>
        <v>8.3</v>
      </c>
      <c r="N66" s="13">
        <f t="shared" ref="N66:N109" si="7">M66</f>
        <v>8.3</v>
      </c>
      <c r="O66" s="13">
        <f t="shared" ref="O66:O109" si="8">VLOOKUP(D66,$S:$AC,8,FALSE)</f>
        <v>1.9</v>
      </c>
      <c r="P66" s="13">
        <f t="shared" ref="P66:P109" si="9">VLOOKUP(D66,$S:$AC,9,FALSE)</f>
        <v>1.1</v>
      </c>
      <c r="Q66" s="13">
        <v>0.5</v>
      </c>
    </row>
    <row r="67" s="6" customFormat="1" spans="1:17">
      <c r="A67" s="10" t="s">
        <v>406</v>
      </c>
      <c r="B67" s="11" t="s">
        <v>330</v>
      </c>
      <c r="C67" s="11" t="s">
        <v>407</v>
      </c>
      <c r="D67" s="11">
        <v>8.2</v>
      </c>
      <c r="E67" s="11">
        <v>9.5</v>
      </c>
      <c r="F67" s="11">
        <v>0.6</v>
      </c>
      <c r="G67" s="11">
        <v>3.65</v>
      </c>
      <c r="H67" s="11">
        <v>25</v>
      </c>
      <c r="I67" s="11">
        <v>20</v>
      </c>
      <c r="J67" s="13">
        <v>0.5</v>
      </c>
      <c r="K67" s="13">
        <v>0.1</v>
      </c>
      <c r="L67" s="13">
        <f t="shared" si="5"/>
        <v>10.1</v>
      </c>
      <c r="M67" s="13">
        <f t="shared" si="6"/>
        <v>8.3</v>
      </c>
      <c r="N67" s="13">
        <f t="shared" si="7"/>
        <v>8.3</v>
      </c>
      <c r="O67" s="13">
        <f t="shared" si="8"/>
        <v>1.9</v>
      </c>
      <c r="P67" s="13">
        <f t="shared" si="9"/>
        <v>1.1</v>
      </c>
      <c r="Q67" s="13">
        <v>0.5</v>
      </c>
    </row>
    <row r="68" s="6" customFormat="1" spans="1:17">
      <c r="A68" s="10" t="s">
        <v>408</v>
      </c>
      <c r="B68" s="11" t="s">
        <v>285</v>
      </c>
      <c r="C68" s="11" t="s">
        <v>147</v>
      </c>
      <c r="D68" s="11">
        <v>8.2</v>
      </c>
      <c r="E68" s="11">
        <v>9.5</v>
      </c>
      <c r="F68" s="11">
        <v>0.6</v>
      </c>
      <c r="G68" s="11">
        <v>3.65</v>
      </c>
      <c r="H68" s="11">
        <v>25</v>
      </c>
      <c r="I68" s="11">
        <v>20</v>
      </c>
      <c r="J68" s="13">
        <v>0.5</v>
      </c>
      <c r="K68" s="13">
        <v>0.1</v>
      </c>
      <c r="L68" s="13">
        <f t="shared" si="5"/>
        <v>10.1</v>
      </c>
      <c r="M68" s="13">
        <f t="shared" si="6"/>
        <v>8.3</v>
      </c>
      <c r="N68" s="13">
        <f t="shared" si="7"/>
        <v>8.3</v>
      </c>
      <c r="O68" s="13">
        <f t="shared" si="8"/>
        <v>1.9</v>
      </c>
      <c r="P68" s="13">
        <f t="shared" si="9"/>
        <v>1.1</v>
      </c>
      <c r="Q68" s="13">
        <v>0.5</v>
      </c>
    </row>
    <row r="69" s="6" customFormat="1" spans="1:17">
      <c r="A69" s="10" t="s">
        <v>409</v>
      </c>
      <c r="B69" s="11" t="s">
        <v>362</v>
      </c>
      <c r="C69" s="11" t="s">
        <v>147</v>
      </c>
      <c r="D69" s="11">
        <v>8.2</v>
      </c>
      <c r="E69" s="11">
        <v>9.4</v>
      </c>
      <c r="F69" s="11">
        <v>0.6</v>
      </c>
      <c r="G69" s="11">
        <v>3.8</v>
      </c>
      <c r="H69" s="11">
        <v>25</v>
      </c>
      <c r="I69" s="11">
        <v>20</v>
      </c>
      <c r="J69" s="13">
        <v>0.5</v>
      </c>
      <c r="K69" s="13">
        <v>0.1</v>
      </c>
      <c r="L69" s="13">
        <f t="shared" si="5"/>
        <v>10</v>
      </c>
      <c r="M69" s="13">
        <f t="shared" si="6"/>
        <v>8.3</v>
      </c>
      <c r="N69" s="13">
        <f t="shared" si="7"/>
        <v>8.3</v>
      </c>
      <c r="O69" s="13">
        <f t="shared" si="8"/>
        <v>1.9</v>
      </c>
      <c r="P69" s="13">
        <f t="shared" si="9"/>
        <v>1.1</v>
      </c>
      <c r="Q69" s="13">
        <v>0.5</v>
      </c>
    </row>
    <row r="70" s="6" customFormat="1" spans="1:17">
      <c r="A70" s="10" t="s">
        <v>410</v>
      </c>
      <c r="B70" s="11" t="s">
        <v>411</v>
      </c>
      <c r="C70" s="11" t="s">
        <v>407</v>
      </c>
      <c r="D70" s="11">
        <v>8.2</v>
      </c>
      <c r="E70" s="11">
        <v>9.4</v>
      </c>
      <c r="F70" s="11">
        <v>0.6</v>
      </c>
      <c r="G70" s="11">
        <v>3.8</v>
      </c>
      <c r="H70" s="11">
        <v>25</v>
      </c>
      <c r="I70" s="11">
        <v>20</v>
      </c>
      <c r="J70" s="13">
        <v>0.5</v>
      </c>
      <c r="K70" s="13">
        <v>0.1</v>
      </c>
      <c r="L70" s="13">
        <f t="shared" si="5"/>
        <v>10</v>
      </c>
      <c r="M70" s="13">
        <f t="shared" si="6"/>
        <v>8.3</v>
      </c>
      <c r="N70" s="13">
        <f t="shared" si="7"/>
        <v>8.3</v>
      </c>
      <c r="O70" s="13">
        <f t="shared" si="8"/>
        <v>1.9</v>
      </c>
      <c r="P70" s="13">
        <f t="shared" si="9"/>
        <v>1.1</v>
      </c>
      <c r="Q70" s="13">
        <v>0.5</v>
      </c>
    </row>
    <row r="71" s="6" customFormat="1" spans="1:17">
      <c r="A71" s="10" t="s">
        <v>412</v>
      </c>
      <c r="B71" s="11" t="s">
        <v>330</v>
      </c>
      <c r="C71" s="11" t="s">
        <v>154</v>
      </c>
      <c r="D71" s="11">
        <v>8.2</v>
      </c>
      <c r="E71" s="11">
        <v>7.5</v>
      </c>
      <c r="F71" s="11">
        <v>0.6</v>
      </c>
      <c r="G71" s="11">
        <v>3.8</v>
      </c>
      <c r="H71" s="11">
        <v>25</v>
      </c>
      <c r="I71" s="11">
        <v>20</v>
      </c>
      <c r="J71" s="13">
        <v>0.5</v>
      </c>
      <c r="K71" s="13">
        <v>0.1</v>
      </c>
      <c r="L71" s="13">
        <f t="shared" si="5"/>
        <v>8.1</v>
      </c>
      <c r="M71" s="13">
        <f t="shared" si="6"/>
        <v>8.3</v>
      </c>
      <c r="N71" s="13">
        <f t="shared" si="7"/>
        <v>8.3</v>
      </c>
      <c r="O71" s="13">
        <f t="shared" si="8"/>
        <v>1.9</v>
      </c>
      <c r="P71" s="13">
        <f t="shared" si="9"/>
        <v>1.1</v>
      </c>
      <c r="Q71" s="13">
        <v>0.5</v>
      </c>
    </row>
    <row r="72" s="6" customFormat="1" spans="1:17">
      <c r="A72" s="10" t="s">
        <v>413</v>
      </c>
      <c r="B72" s="11" t="s">
        <v>353</v>
      </c>
      <c r="C72" s="11" t="s">
        <v>414</v>
      </c>
      <c r="D72" s="11">
        <v>8.2</v>
      </c>
      <c r="E72" s="11">
        <v>8.5</v>
      </c>
      <c r="F72" s="11">
        <v>0.6</v>
      </c>
      <c r="G72" s="11">
        <v>3.8</v>
      </c>
      <c r="H72" s="11">
        <v>25</v>
      </c>
      <c r="I72" s="11">
        <v>20</v>
      </c>
      <c r="J72" s="13">
        <v>0.5</v>
      </c>
      <c r="K72" s="13">
        <v>0.1</v>
      </c>
      <c r="L72" s="13">
        <f t="shared" si="5"/>
        <v>9.1</v>
      </c>
      <c r="M72" s="13">
        <f t="shared" si="6"/>
        <v>8.3</v>
      </c>
      <c r="N72" s="13">
        <f t="shared" si="7"/>
        <v>8.3</v>
      </c>
      <c r="O72" s="13">
        <f t="shared" si="8"/>
        <v>1.9</v>
      </c>
      <c r="P72" s="13">
        <f t="shared" si="9"/>
        <v>1.1</v>
      </c>
      <c r="Q72" s="13">
        <v>0.5</v>
      </c>
    </row>
    <row r="73" s="6" customFormat="1" spans="1:17">
      <c r="A73" s="10" t="s">
        <v>415</v>
      </c>
      <c r="B73" s="11" t="s">
        <v>362</v>
      </c>
      <c r="C73" s="11" t="s">
        <v>416</v>
      </c>
      <c r="D73" s="11">
        <v>8.2</v>
      </c>
      <c r="E73" s="11">
        <v>16.6</v>
      </c>
      <c r="F73" s="11">
        <v>0.6</v>
      </c>
      <c r="G73" s="11">
        <v>3.8</v>
      </c>
      <c r="H73" s="11">
        <v>25</v>
      </c>
      <c r="I73" s="11">
        <v>20</v>
      </c>
      <c r="J73" s="13">
        <v>0.5</v>
      </c>
      <c r="K73" s="13">
        <v>0.1</v>
      </c>
      <c r="L73" s="13">
        <f t="shared" si="5"/>
        <v>17.2</v>
      </c>
      <c r="M73" s="13">
        <f t="shared" si="6"/>
        <v>8.3</v>
      </c>
      <c r="N73" s="13">
        <f t="shared" si="7"/>
        <v>8.3</v>
      </c>
      <c r="O73" s="13">
        <f t="shared" si="8"/>
        <v>1.9</v>
      </c>
      <c r="P73" s="13">
        <f t="shared" si="9"/>
        <v>1.1</v>
      </c>
      <c r="Q73" s="13">
        <v>0.5</v>
      </c>
    </row>
    <row r="74" s="6" customFormat="1" spans="1:17">
      <c r="A74" s="10" t="s">
        <v>417</v>
      </c>
      <c r="B74" s="11" t="s">
        <v>318</v>
      </c>
      <c r="C74" s="11" t="s">
        <v>195</v>
      </c>
      <c r="D74" s="11">
        <v>10</v>
      </c>
      <c r="E74" s="11">
        <v>16.45</v>
      </c>
      <c r="F74" s="11">
        <v>0.6</v>
      </c>
      <c r="G74" s="11">
        <v>5.25</v>
      </c>
      <c r="H74" s="11">
        <v>25</v>
      </c>
      <c r="I74" s="11">
        <v>20</v>
      </c>
      <c r="J74" s="13">
        <v>0.5</v>
      </c>
      <c r="K74" s="13">
        <v>0.1</v>
      </c>
      <c r="L74" s="13">
        <f t="shared" si="5"/>
        <v>17.05</v>
      </c>
      <c r="M74" s="13">
        <f t="shared" si="6"/>
        <v>10.3</v>
      </c>
      <c r="N74" s="13">
        <f t="shared" si="7"/>
        <v>10.3</v>
      </c>
      <c r="O74" s="13">
        <f t="shared" si="8"/>
        <v>1.9</v>
      </c>
      <c r="P74" s="13">
        <f t="shared" si="9"/>
        <v>1.1</v>
      </c>
      <c r="Q74" s="13">
        <v>0.5</v>
      </c>
    </row>
    <row r="75" s="6" customFormat="1" spans="1:17">
      <c r="A75" s="10" t="s">
        <v>418</v>
      </c>
      <c r="B75" s="11" t="s">
        <v>362</v>
      </c>
      <c r="C75" s="11" t="s">
        <v>419</v>
      </c>
      <c r="D75" s="11">
        <v>10</v>
      </c>
      <c r="E75" s="11">
        <v>12.7</v>
      </c>
      <c r="F75" s="11">
        <v>0.6</v>
      </c>
      <c r="G75" s="11">
        <v>5.25</v>
      </c>
      <c r="H75" s="11">
        <v>25</v>
      </c>
      <c r="I75" s="11">
        <v>20</v>
      </c>
      <c r="J75" s="13">
        <v>0.5</v>
      </c>
      <c r="K75" s="13">
        <v>0.1</v>
      </c>
      <c r="L75" s="13">
        <f t="shared" si="5"/>
        <v>13.3</v>
      </c>
      <c r="M75" s="13">
        <f t="shared" si="6"/>
        <v>10.3</v>
      </c>
      <c r="N75" s="13">
        <f t="shared" si="7"/>
        <v>10.3</v>
      </c>
      <c r="O75" s="13">
        <f t="shared" si="8"/>
        <v>1.9</v>
      </c>
      <c r="P75" s="13">
        <f t="shared" si="9"/>
        <v>1.1</v>
      </c>
      <c r="Q75" s="13">
        <v>0.5</v>
      </c>
    </row>
    <row r="76" s="6" customFormat="1" spans="1:17">
      <c r="A76" s="10" t="s">
        <v>420</v>
      </c>
      <c r="B76" s="11" t="s">
        <v>362</v>
      </c>
      <c r="C76" s="11" t="s">
        <v>421</v>
      </c>
      <c r="D76" s="11">
        <v>10</v>
      </c>
      <c r="E76" s="11">
        <v>10.1</v>
      </c>
      <c r="F76" s="11">
        <v>0.6</v>
      </c>
      <c r="G76" s="11">
        <v>5.25</v>
      </c>
      <c r="H76" s="11">
        <v>25</v>
      </c>
      <c r="I76" s="11">
        <v>20</v>
      </c>
      <c r="J76" s="13">
        <v>0.5</v>
      </c>
      <c r="K76" s="13">
        <v>0.1</v>
      </c>
      <c r="L76" s="13">
        <f t="shared" si="5"/>
        <v>10.7</v>
      </c>
      <c r="M76" s="13">
        <f t="shared" si="6"/>
        <v>10.3</v>
      </c>
      <c r="N76" s="13">
        <f t="shared" si="7"/>
        <v>10.3</v>
      </c>
      <c r="O76" s="13">
        <f t="shared" si="8"/>
        <v>1.9</v>
      </c>
      <c r="P76" s="13">
        <f t="shared" si="9"/>
        <v>1.1</v>
      </c>
      <c r="Q76" s="13">
        <v>0.5</v>
      </c>
    </row>
    <row r="77" s="6" customFormat="1" spans="1:17">
      <c r="A77" s="10" t="s">
        <v>422</v>
      </c>
      <c r="B77" s="11" t="s">
        <v>362</v>
      </c>
      <c r="C77" s="11" t="s">
        <v>421</v>
      </c>
      <c r="D77" s="11">
        <v>10</v>
      </c>
      <c r="E77" s="11">
        <v>9.85</v>
      </c>
      <c r="F77" s="11">
        <v>0.6</v>
      </c>
      <c r="G77" s="11">
        <v>5.25</v>
      </c>
      <c r="H77" s="11">
        <v>25</v>
      </c>
      <c r="I77" s="11">
        <v>20</v>
      </c>
      <c r="J77" s="13">
        <v>0.5</v>
      </c>
      <c r="K77" s="13">
        <v>0.1</v>
      </c>
      <c r="L77" s="13">
        <f t="shared" si="5"/>
        <v>10.45</v>
      </c>
      <c r="M77" s="13">
        <f t="shared" si="6"/>
        <v>10.3</v>
      </c>
      <c r="N77" s="13">
        <f t="shared" si="7"/>
        <v>10.3</v>
      </c>
      <c r="O77" s="13">
        <f t="shared" si="8"/>
        <v>1.9</v>
      </c>
      <c r="P77" s="13">
        <f t="shared" si="9"/>
        <v>1.1</v>
      </c>
      <c r="Q77" s="13">
        <v>0.5</v>
      </c>
    </row>
    <row r="78" s="6" customFormat="1" spans="1:17">
      <c r="A78" s="10" t="s">
        <v>423</v>
      </c>
      <c r="B78" s="11" t="s">
        <v>285</v>
      </c>
      <c r="C78" s="11" t="s">
        <v>424</v>
      </c>
      <c r="D78" s="11">
        <v>10</v>
      </c>
      <c r="E78" s="11">
        <v>17.45</v>
      </c>
      <c r="F78" s="11">
        <v>0.6</v>
      </c>
      <c r="G78" s="11">
        <v>5.25</v>
      </c>
      <c r="H78" s="11">
        <v>25</v>
      </c>
      <c r="I78" s="11">
        <v>20</v>
      </c>
      <c r="J78" s="13">
        <v>0.5</v>
      </c>
      <c r="K78" s="13">
        <v>0.1</v>
      </c>
      <c r="L78" s="13">
        <f t="shared" si="5"/>
        <v>18.05</v>
      </c>
      <c r="M78" s="13">
        <f t="shared" si="6"/>
        <v>10.3</v>
      </c>
      <c r="N78" s="13">
        <f t="shared" si="7"/>
        <v>10.3</v>
      </c>
      <c r="O78" s="13">
        <f t="shared" si="8"/>
        <v>1.9</v>
      </c>
      <c r="P78" s="13">
        <f t="shared" si="9"/>
        <v>1.1</v>
      </c>
      <c r="Q78" s="13">
        <v>0.5</v>
      </c>
    </row>
    <row r="79" s="6" customFormat="1" spans="1:17">
      <c r="A79" s="10" t="s">
        <v>425</v>
      </c>
      <c r="B79" s="11" t="s">
        <v>285</v>
      </c>
      <c r="C79" s="11" t="s">
        <v>193</v>
      </c>
      <c r="D79" s="11">
        <v>10</v>
      </c>
      <c r="E79" s="11">
        <v>16.45</v>
      </c>
      <c r="F79" s="11">
        <v>0.6</v>
      </c>
      <c r="G79" s="11">
        <v>5.25</v>
      </c>
      <c r="H79" s="11">
        <v>25</v>
      </c>
      <c r="I79" s="11">
        <v>20</v>
      </c>
      <c r="J79" s="13">
        <v>0.5</v>
      </c>
      <c r="K79" s="13">
        <v>0.1</v>
      </c>
      <c r="L79" s="13">
        <f t="shared" si="5"/>
        <v>17.05</v>
      </c>
      <c r="M79" s="13">
        <f t="shared" si="6"/>
        <v>10.3</v>
      </c>
      <c r="N79" s="13">
        <f t="shared" si="7"/>
        <v>10.3</v>
      </c>
      <c r="O79" s="13">
        <f t="shared" si="8"/>
        <v>1.9</v>
      </c>
      <c r="P79" s="13">
        <f t="shared" si="9"/>
        <v>1.1</v>
      </c>
      <c r="Q79" s="13">
        <v>0.5</v>
      </c>
    </row>
    <row r="80" s="6" customFormat="1" spans="1:17">
      <c r="A80" s="10" t="s">
        <v>426</v>
      </c>
      <c r="B80" s="11" t="s">
        <v>285</v>
      </c>
      <c r="C80" s="11" t="s">
        <v>427</v>
      </c>
      <c r="D80" s="11">
        <v>10</v>
      </c>
      <c r="E80" s="11">
        <v>14.95</v>
      </c>
      <c r="F80" s="11">
        <v>0.6</v>
      </c>
      <c r="G80" s="11">
        <v>5.25</v>
      </c>
      <c r="H80" s="11">
        <v>25</v>
      </c>
      <c r="I80" s="11">
        <v>20</v>
      </c>
      <c r="J80" s="13">
        <v>0.5</v>
      </c>
      <c r="K80" s="13">
        <v>0.1</v>
      </c>
      <c r="L80" s="13">
        <f t="shared" si="5"/>
        <v>15.55</v>
      </c>
      <c r="M80" s="13">
        <f t="shared" si="6"/>
        <v>10.3</v>
      </c>
      <c r="N80" s="13">
        <f t="shared" si="7"/>
        <v>10.3</v>
      </c>
      <c r="O80" s="13">
        <f t="shared" si="8"/>
        <v>1.9</v>
      </c>
      <c r="P80" s="13">
        <f t="shared" si="9"/>
        <v>1.1</v>
      </c>
      <c r="Q80" s="13">
        <v>0.5</v>
      </c>
    </row>
    <row r="81" s="6" customFormat="1" spans="1:17">
      <c r="A81" s="10" t="s">
        <v>428</v>
      </c>
      <c r="B81" s="11" t="s">
        <v>285</v>
      </c>
      <c r="C81" s="11" t="s">
        <v>201</v>
      </c>
      <c r="D81" s="11">
        <v>10</v>
      </c>
      <c r="E81" s="11">
        <v>12.7</v>
      </c>
      <c r="F81" s="11">
        <v>0.6</v>
      </c>
      <c r="G81" s="11">
        <v>5.25</v>
      </c>
      <c r="H81" s="11">
        <v>25</v>
      </c>
      <c r="I81" s="11">
        <v>20</v>
      </c>
      <c r="J81" s="13">
        <v>0.5</v>
      </c>
      <c r="K81" s="13">
        <v>0.1</v>
      </c>
      <c r="L81" s="13">
        <f t="shared" si="5"/>
        <v>13.3</v>
      </c>
      <c r="M81" s="13">
        <f t="shared" si="6"/>
        <v>10.3</v>
      </c>
      <c r="N81" s="13">
        <f t="shared" si="7"/>
        <v>10.3</v>
      </c>
      <c r="O81" s="13">
        <f t="shared" si="8"/>
        <v>1.9</v>
      </c>
      <c r="P81" s="13">
        <f t="shared" si="9"/>
        <v>1.1</v>
      </c>
      <c r="Q81" s="13">
        <v>0.5</v>
      </c>
    </row>
    <row r="82" s="6" customFormat="1" spans="1:17">
      <c r="A82" s="10" t="s">
        <v>429</v>
      </c>
      <c r="B82" s="11" t="s">
        <v>285</v>
      </c>
      <c r="C82" s="11" t="s">
        <v>430</v>
      </c>
      <c r="D82" s="11">
        <v>10</v>
      </c>
      <c r="E82" s="11">
        <v>21.45</v>
      </c>
      <c r="F82" s="11">
        <v>0.6</v>
      </c>
      <c r="G82" s="11">
        <v>5.25</v>
      </c>
      <c r="H82" s="11">
        <v>25</v>
      </c>
      <c r="I82" s="11">
        <v>20</v>
      </c>
      <c r="J82" s="13">
        <v>0.5</v>
      </c>
      <c r="K82" s="13">
        <v>0.1</v>
      </c>
      <c r="L82" s="13">
        <f t="shared" si="5"/>
        <v>22.05</v>
      </c>
      <c r="M82" s="13">
        <f t="shared" si="6"/>
        <v>10.3</v>
      </c>
      <c r="N82" s="13">
        <f t="shared" si="7"/>
        <v>10.3</v>
      </c>
      <c r="O82" s="13">
        <f t="shared" si="8"/>
        <v>1.9</v>
      </c>
      <c r="P82" s="13">
        <f t="shared" si="9"/>
        <v>1.1</v>
      </c>
      <c r="Q82" s="13">
        <v>0.5</v>
      </c>
    </row>
    <row r="83" s="6" customFormat="1" spans="1:17">
      <c r="A83" s="10" t="s">
        <v>431</v>
      </c>
      <c r="B83" s="11" t="s">
        <v>285</v>
      </c>
      <c r="C83" s="11" t="s">
        <v>432</v>
      </c>
      <c r="D83" s="11">
        <v>10</v>
      </c>
      <c r="E83" s="11">
        <v>13.45</v>
      </c>
      <c r="F83" s="11">
        <v>0.6</v>
      </c>
      <c r="G83" s="11">
        <v>5.25</v>
      </c>
      <c r="H83" s="11">
        <v>25</v>
      </c>
      <c r="I83" s="11">
        <v>20</v>
      </c>
      <c r="J83" s="13">
        <v>0.5</v>
      </c>
      <c r="K83" s="13">
        <v>0.1</v>
      </c>
      <c r="L83" s="13">
        <f t="shared" si="5"/>
        <v>14.05</v>
      </c>
      <c r="M83" s="13">
        <f t="shared" si="6"/>
        <v>10.3</v>
      </c>
      <c r="N83" s="13">
        <f t="shared" si="7"/>
        <v>10.3</v>
      </c>
      <c r="O83" s="13">
        <f t="shared" si="8"/>
        <v>1.9</v>
      </c>
      <c r="P83" s="13">
        <f t="shared" si="9"/>
        <v>1.1</v>
      </c>
      <c r="Q83" s="13">
        <v>0.5</v>
      </c>
    </row>
    <row r="84" s="6" customFormat="1" spans="1:17">
      <c r="A84" s="10" t="s">
        <v>433</v>
      </c>
      <c r="B84" s="11" t="s">
        <v>318</v>
      </c>
      <c r="C84" s="11" t="s">
        <v>434</v>
      </c>
      <c r="D84" s="11">
        <v>10</v>
      </c>
      <c r="E84" s="11">
        <v>9.05</v>
      </c>
      <c r="F84" s="11">
        <v>0.6</v>
      </c>
      <c r="G84" s="11">
        <v>5.25</v>
      </c>
      <c r="H84" s="11">
        <v>25</v>
      </c>
      <c r="I84" s="11">
        <v>20</v>
      </c>
      <c r="J84" s="13">
        <v>0.5</v>
      </c>
      <c r="K84" s="13">
        <v>0.1</v>
      </c>
      <c r="L84" s="13">
        <f t="shared" si="5"/>
        <v>9.65</v>
      </c>
      <c r="M84" s="13">
        <f t="shared" si="6"/>
        <v>10.3</v>
      </c>
      <c r="N84" s="13">
        <f t="shared" si="7"/>
        <v>10.3</v>
      </c>
      <c r="O84" s="13">
        <f t="shared" si="8"/>
        <v>1.9</v>
      </c>
      <c r="P84" s="13">
        <f t="shared" si="9"/>
        <v>1.1</v>
      </c>
      <c r="Q84" s="13">
        <v>0.5</v>
      </c>
    </row>
    <row r="85" s="6" customFormat="1" spans="1:17">
      <c r="A85" s="10" t="s">
        <v>435</v>
      </c>
      <c r="B85" s="11" t="s">
        <v>318</v>
      </c>
      <c r="C85" s="11" t="s">
        <v>436</v>
      </c>
      <c r="D85" s="11">
        <v>10</v>
      </c>
      <c r="E85" s="11">
        <v>8.05</v>
      </c>
      <c r="F85" s="11">
        <v>0.6</v>
      </c>
      <c r="G85" s="11">
        <v>5.25</v>
      </c>
      <c r="H85" s="11">
        <v>25</v>
      </c>
      <c r="I85" s="11">
        <v>20</v>
      </c>
      <c r="J85" s="13">
        <v>0.5</v>
      </c>
      <c r="K85" s="13">
        <v>0.1</v>
      </c>
      <c r="L85" s="13">
        <f t="shared" si="5"/>
        <v>8.65</v>
      </c>
      <c r="M85" s="13">
        <f t="shared" si="6"/>
        <v>10.3</v>
      </c>
      <c r="N85" s="13">
        <f t="shared" si="7"/>
        <v>10.3</v>
      </c>
      <c r="O85" s="13">
        <f t="shared" si="8"/>
        <v>1.9</v>
      </c>
      <c r="P85" s="13">
        <f t="shared" si="9"/>
        <v>1.1</v>
      </c>
      <c r="Q85" s="13">
        <v>0.5</v>
      </c>
    </row>
    <row r="86" s="6" customFormat="1" spans="1:17">
      <c r="A86" s="10" t="s">
        <v>437</v>
      </c>
      <c r="B86" s="11" t="s">
        <v>285</v>
      </c>
      <c r="C86" s="11" t="s">
        <v>438</v>
      </c>
      <c r="D86" s="11">
        <v>10</v>
      </c>
      <c r="E86" s="11">
        <v>8.05</v>
      </c>
      <c r="F86" s="11">
        <v>0.6</v>
      </c>
      <c r="G86" s="11">
        <v>5.25</v>
      </c>
      <c r="H86" s="11">
        <v>25</v>
      </c>
      <c r="I86" s="11">
        <v>20</v>
      </c>
      <c r="J86" s="13">
        <v>0.5</v>
      </c>
      <c r="K86" s="13">
        <v>0.1</v>
      </c>
      <c r="L86" s="13">
        <f t="shared" si="5"/>
        <v>8.65</v>
      </c>
      <c r="M86" s="13">
        <f t="shared" si="6"/>
        <v>10.3</v>
      </c>
      <c r="N86" s="13">
        <f t="shared" si="7"/>
        <v>10.3</v>
      </c>
      <c r="O86" s="13">
        <f t="shared" si="8"/>
        <v>1.9</v>
      </c>
      <c r="P86" s="13">
        <f t="shared" si="9"/>
        <v>1.1</v>
      </c>
      <c r="Q86" s="13">
        <v>0.5</v>
      </c>
    </row>
    <row r="87" s="6" customFormat="1" spans="1:17">
      <c r="A87" s="10" t="s">
        <v>439</v>
      </c>
      <c r="B87" s="11" t="s">
        <v>299</v>
      </c>
      <c r="C87" s="11" t="s">
        <v>212</v>
      </c>
      <c r="D87" s="11">
        <v>10</v>
      </c>
      <c r="E87" s="11">
        <v>10.1</v>
      </c>
      <c r="F87" s="11">
        <v>0.6</v>
      </c>
      <c r="G87" s="11">
        <v>5.25</v>
      </c>
      <c r="H87" s="11">
        <v>25</v>
      </c>
      <c r="I87" s="11">
        <v>20</v>
      </c>
      <c r="J87" s="13">
        <v>0.5</v>
      </c>
      <c r="K87" s="13">
        <v>0.1</v>
      </c>
      <c r="L87" s="13">
        <f t="shared" si="5"/>
        <v>10.7</v>
      </c>
      <c r="M87" s="13">
        <f t="shared" si="6"/>
        <v>10.3</v>
      </c>
      <c r="N87" s="13">
        <f t="shared" si="7"/>
        <v>10.3</v>
      </c>
      <c r="O87" s="13">
        <f t="shared" si="8"/>
        <v>1.9</v>
      </c>
      <c r="P87" s="13">
        <f t="shared" si="9"/>
        <v>1.1</v>
      </c>
      <c r="Q87" s="13">
        <v>0.5</v>
      </c>
    </row>
    <row r="88" s="6" customFormat="1" spans="1:17">
      <c r="A88" s="10" t="s">
        <v>440</v>
      </c>
      <c r="B88" s="11" t="s">
        <v>299</v>
      </c>
      <c r="C88" s="11" t="s">
        <v>206</v>
      </c>
      <c r="D88" s="11">
        <v>10</v>
      </c>
      <c r="E88" s="11">
        <v>12.7</v>
      </c>
      <c r="F88" s="11">
        <v>0.6</v>
      </c>
      <c r="G88" s="11">
        <v>5.25</v>
      </c>
      <c r="H88" s="11">
        <v>25</v>
      </c>
      <c r="I88" s="11">
        <v>20</v>
      </c>
      <c r="J88" s="13">
        <v>0.5</v>
      </c>
      <c r="K88" s="13">
        <v>0.1</v>
      </c>
      <c r="L88" s="13">
        <f t="shared" si="5"/>
        <v>13.3</v>
      </c>
      <c r="M88" s="13">
        <f t="shared" si="6"/>
        <v>10.3</v>
      </c>
      <c r="N88" s="13">
        <f t="shared" si="7"/>
        <v>10.3</v>
      </c>
      <c r="O88" s="13">
        <f t="shared" si="8"/>
        <v>1.9</v>
      </c>
      <c r="P88" s="13">
        <f t="shared" si="9"/>
        <v>1.1</v>
      </c>
      <c r="Q88" s="13">
        <v>0.5</v>
      </c>
    </row>
    <row r="89" s="6" customFormat="1" spans="1:17">
      <c r="A89" s="10" t="s">
        <v>441</v>
      </c>
      <c r="B89" s="11" t="s">
        <v>318</v>
      </c>
      <c r="C89" s="11" t="s">
        <v>442</v>
      </c>
      <c r="D89" s="11">
        <v>10</v>
      </c>
      <c r="E89" s="11">
        <v>6.35</v>
      </c>
      <c r="F89" s="11">
        <v>0.6</v>
      </c>
      <c r="G89" s="11">
        <v>5.25</v>
      </c>
      <c r="H89" s="11">
        <v>25</v>
      </c>
      <c r="I89" s="11">
        <v>20</v>
      </c>
      <c r="J89" s="13">
        <v>0.5</v>
      </c>
      <c r="K89" s="13">
        <v>0.1</v>
      </c>
      <c r="L89" s="13">
        <f t="shared" si="5"/>
        <v>6.95</v>
      </c>
      <c r="M89" s="13">
        <f t="shared" si="6"/>
        <v>10.3</v>
      </c>
      <c r="N89" s="13">
        <f t="shared" si="7"/>
        <v>10.3</v>
      </c>
      <c r="O89" s="13">
        <f t="shared" si="8"/>
        <v>1.9</v>
      </c>
      <c r="P89" s="13">
        <f t="shared" si="9"/>
        <v>1.1</v>
      </c>
      <c r="Q89" s="13">
        <v>0.5</v>
      </c>
    </row>
    <row r="90" s="6" customFormat="1" spans="1:17">
      <c r="A90" s="10" t="s">
        <v>443</v>
      </c>
      <c r="B90" s="11" t="s">
        <v>411</v>
      </c>
      <c r="C90" s="11" t="s">
        <v>444</v>
      </c>
      <c r="D90" s="11">
        <v>10</v>
      </c>
      <c r="E90" s="11">
        <v>16.45</v>
      </c>
      <c r="F90" s="11">
        <v>0.6</v>
      </c>
      <c r="G90" s="11">
        <v>5.25</v>
      </c>
      <c r="H90" s="11">
        <v>25</v>
      </c>
      <c r="I90" s="11">
        <v>20</v>
      </c>
      <c r="J90" s="13">
        <v>0.5</v>
      </c>
      <c r="K90" s="13">
        <v>0.1</v>
      </c>
      <c r="L90" s="13">
        <f t="shared" si="5"/>
        <v>17.05</v>
      </c>
      <c r="M90" s="13">
        <f t="shared" si="6"/>
        <v>10.3</v>
      </c>
      <c r="N90" s="13">
        <f t="shared" si="7"/>
        <v>10.3</v>
      </c>
      <c r="O90" s="13">
        <f t="shared" si="8"/>
        <v>1.9</v>
      </c>
      <c r="P90" s="13">
        <f t="shared" si="9"/>
        <v>1.1</v>
      </c>
      <c r="Q90" s="13">
        <v>0.5</v>
      </c>
    </row>
    <row r="91" s="6" customFormat="1" spans="1:17">
      <c r="A91" s="10" t="s">
        <v>445</v>
      </c>
      <c r="B91" s="11" t="s">
        <v>446</v>
      </c>
      <c r="C91" s="11" t="s">
        <v>204</v>
      </c>
      <c r="D91" s="11">
        <v>10</v>
      </c>
      <c r="E91" s="11">
        <v>12.7</v>
      </c>
      <c r="F91" s="11">
        <v>0.6</v>
      </c>
      <c r="G91" s="11">
        <v>5.25</v>
      </c>
      <c r="H91" s="11">
        <v>25</v>
      </c>
      <c r="I91" s="11">
        <v>20</v>
      </c>
      <c r="J91" s="13">
        <v>0.5</v>
      </c>
      <c r="K91" s="13">
        <v>0.1</v>
      </c>
      <c r="L91" s="13">
        <f t="shared" si="5"/>
        <v>13.3</v>
      </c>
      <c r="M91" s="13">
        <f t="shared" si="6"/>
        <v>10.3</v>
      </c>
      <c r="N91" s="13">
        <f t="shared" si="7"/>
        <v>10.3</v>
      </c>
      <c r="O91" s="13">
        <f t="shared" si="8"/>
        <v>1.9</v>
      </c>
      <c r="P91" s="13">
        <f t="shared" si="9"/>
        <v>1.1</v>
      </c>
      <c r="Q91" s="13">
        <v>0.5</v>
      </c>
    </row>
    <row r="92" s="6" customFormat="1" spans="1:17">
      <c r="A92" s="10" t="s">
        <v>447</v>
      </c>
      <c r="B92" s="11" t="s">
        <v>362</v>
      </c>
      <c r="C92" s="11" t="s">
        <v>204</v>
      </c>
      <c r="D92" s="11">
        <v>10</v>
      </c>
      <c r="E92" s="11">
        <v>12.15</v>
      </c>
      <c r="F92" s="11">
        <v>0.6</v>
      </c>
      <c r="G92" s="11">
        <v>5.25</v>
      </c>
      <c r="H92" s="11">
        <v>25</v>
      </c>
      <c r="I92" s="11">
        <v>20</v>
      </c>
      <c r="J92" s="13">
        <v>0.5</v>
      </c>
      <c r="K92" s="13">
        <v>0.1</v>
      </c>
      <c r="L92" s="13">
        <f t="shared" si="5"/>
        <v>12.75</v>
      </c>
      <c r="M92" s="13">
        <f t="shared" si="6"/>
        <v>10.3</v>
      </c>
      <c r="N92" s="13">
        <f t="shared" si="7"/>
        <v>10.3</v>
      </c>
      <c r="O92" s="13">
        <f t="shared" si="8"/>
        <v>1.9</v>
      </c>
      <c r="P92" s="13">
        <f t="shared" si="9"/>
        <v>1.1</v>
      </c>
      <c r="Q92" s="13">
        <v>0.5</v>
      </c>
    </row>
    <row r="93" s="6" customFormat="1" spans="1:17">
      <c r="A93" s="10" t="s">
        <v>448</v>
      </c>
      <c r="B93" s="11" t="s">
        <v>362</v>
      </c>
      <c r="C93" s="11" t="s">
        <v>212</v>
      </c>
      <c r="D93" s="11">
        <v>10</v>
      </c>
      <c r="E93" s="11">
        <v>9.05</v>
      </c>
      <c r="F93" s="11">
        <v>0.6</v>
      </c>
      <c r="G93" s="11">
        <v>5.25</v>
      </c>
      <c r="H93" s="11">
        <v>25</v>
      </c>
      <c r="I93" s="11">
        <v>20</v>
      </c>
      <c r="J93" s="13">
        <v>0.5</v>
      </c>
      <c r="K93" s="13">
        <v>0.1</v>
      </c>
      <c r="L93" s="13">
        <f t="shared" si="5"/>
        <v>9.65</v>
      </c>
      <c r="M93" s="13">
        <f t="shared" si="6"/>
        <v>10.3</v>
      </c>
      <c r="N93" s="13">
        <f t="shared" si="7"/>
        <v>10.3</v>
      </c>
      <c r="O93" s="13">
        <f t="shared" si="8"/>
        <v>1.9</v>
      </c>
      <c r="P93" s="13">
        <f t="shared" si="9"/>
        <v>1.1</v>
      </c>
      <c r="Q93" s="13">
        <v>0.5</v>
      </c>
    </row>
    <row r="94" s="6" customFormat="1" spans="1:17">
      <c r="A94" s="10" t="s">
        <v>449</v>
      </c>
      <c r="B94" s="11" t="s">
        <v>285</v>
      </c>
      <c r="C94" s="11" t="s">
        <v>450</v>
      </c>
      <c r="D94" s="11">
        <v>10</v>
      </c>
      <c r="E94" s="11">
        <v>8.05</v>
      </c>
      <c r="F94" s="11">
        <v>0.6</v>
      </c>
      <c r="G94" s="11">
        <v>5.25</v>
      </c>
      <c r="H94" s="11">
        <v>25</v>
      </c>
      <c r="I94" s="11">
        <v>20</v>
      </c>
      <c r="J94" s="13">
        <v>0.5</v>
      </c>
      <c r="K94" s="13">
        <v>0.1</v>
      </c>
      <c r="L94" s="13">
        <f t="shared" si="5"/>
        <v>8.65</v>
      </c>
      <c r="M94" s="13">
        <f t="shared" si="6"/>
        <v>10.3</v>
      </c>
      <c r="N94" s="13">
        <f t="shared" si="7"/>
        <v>10.3</v>
      </c>
      <c r="O94" s="13">
        <f t="shared" si="8"/>
        <v>1.9</v>
      </c>
      <c r="P94" s="13">
        <f t="shared" si="9"/>
        <v>1.1</v>
      </c>
      <c r="Q94" s="13">
        <v>0.5</v>
      </c>
    </row>
    <row r="95" s="6" customFormat="1" spans="1:17">
      <c r="A95" s="10" t="s">
        <v>451</v>
      </c>
      <c r="B95" s="11" t="s">
        <v>285</v>
      </c>
      <c r="C95" s="11" t="s">
        <v>234</v>
      </c>
      <c r="D95" s="11">
        <v>12.5</v>
      </c>
      <c r="E95" s="11">
        <v>20.5</v>
      </c>
      <c r="F95" s="11">
        <v>0.6</v>
      </c>
      <c r="G95" s="11">
        <v>5.3</v>
      </c>
      <c r="H95" s="11">
        <v>25</v>
      </c>
      <c r="I95" s="11">
        <v>20</v>
      </c>
      <c r="J95" s="13">
        <v>0.5</v>
      </c>
      <c r="K95" s="13">
        <v>0.1</v>
      </c>
      <c r="L95" s="13">
        <f t="shared" si="5"/>
        <v>21.1</v>
      </c>
      <c r="M95" s="13">
        <f t="shared" si="6"/>
        <v>12.8</v>
      </c>
      <c r="N95" s="13">
        <f t="shared" si="7"/>
        <v>12.8</v>
      </c>
      <c r="O95" s="13">
        <f t="shared" si="8"/>
        <v>1.65</v>
      </c>
      <c r="P95" s="13">
        <f t="shared" si="9"/>
        <v>1</v>
      </c>
      <c r="Q95" s="13">
        <v>0.5</v>
      </c>
    </row>
    <row r="96" s="6" customFormat="1" spans="1:17">
      <c r="A96" s="10" t="s">
        <v>452</v>
      </c>
      <c r="B96" s="11" t="s">
        <v>285</v>
      </c>
      <c r="C96" s="11" t="s">
        <v>453</v>
      </c>
      <c r="D96" s="11">
        <v>12.5</v>
      </c>
      <c r="E96" s="11">
        <v>13.5</v>
      </c>
      <c r="F96" s="11">
        <v>0.6</v>
      </c>
      <c r="G96" s="11">
        <v>5.3</v>
      </c>
      <c r="H96" s="11">
        <v>25</v>
      </c>
      <c r="I96" s="11">
        <v>20</v>
      </c>
      <c r="J96" s="13">
        <v>0.5</v>
      </c>
      <c r="K96" s="13">
        <v>0.1</v>
      </c>
      <c r="L96" s="13">
        <f t="shared" si="5"/>
        <v>14.1</v>
      </c>
      <c r="M96" s="13">
        <f t="shared" si="6"/>
        <v>12.8</v>
      </c>
      <c r="N96" s="13">
        <f t="shared" si="7"/>
        <v>12.8</v>
      </c>
      <c r="O96" s="13">
        <f t="shared" si="8"/>
        <v>1.65</v>
      </c>
      <c r="P96" s="13">
        <f t="shared" si="9"/>
        <v>1</v>
      </c>
      <c r="Q96" s="13">
        <v>0.5</v>
      </c>
    </row>
    <row r="97" s="6" customFormat="1" spans="1:17">
      <c r="A97" s="10" t="s">
        <v>454</v>
      </c>
      <c r="B97" s="11" t="s">
        <v>318</v>
      </c>
      <c r="C97" s="11" t="s">
        <v>455</v>
      </c>
      <c r="D97" s="11">
        <v>12.5</v>
      </c>
      <c r="E97" s="11">
        <v>12.5</v>
      </c>
      <c r="F97" s="11">
        <v>0.6</v>
      </c>
      <c r="G97" s="11">
        <v>5.3</v>
      </c>
      <c r="H97" s="11">
        <v>25</v>
      </c>
      <c r="I97" s="11">
        <v>20</v>
      </c>
      <c r="J97" s="13">
        <v>0.5</v>
      </c>
      <c r="K97" s="13">
        <v>0.1</v>
      </c>
      <c r="L97" s="13">
        <f t="shared" si="5"/>
        <v>13.1</v>
      </c>
      <c r="M97" s="13">
        <f t="shared" si="6"/>
        <v>12.8</v>
      </c>
      <c r="N97" s="13">
        <f t="shared" si="7"/>
        <v>12.8</v>
      </c>
      <c r="O97" s="13">
        <f t="shared" si="8"/>
        <v>1.65</v>
      </c>
      <c r="P97" s="13">
        <f t="shared" si="9"/>
        <v>1</v>
      </c>
      <c r="Q97" s="13">
        <v>0.5</v>
      </c>
    </row>
    <row r="98" s="6" customFormat="1" spans="1:17">
      <c r="A98" s="10" t="s">
        <v>456</v>
      </c>
      <c r="B98" s="11" t="s">
        <v>299</v>
      </c>
      <c r="C98" s="11" t="s">
        <v>457</v>
      </c>
      <c r="D98" s="11">
        <v>12.5</v>
      </c>
      <c r="E98" s="11">
        <v>16.2</v>
      </c>
      <c r="F98" s="11">
        <v>0.6</v>
      </c>
      <c r="G98" s="11">
        <v>5.3</v>
      </c>
      <c r="H98" s="11">
        <v>25</v>
      </c>
      <c r="I98" s="11">
        <v>20</v>
      </c>
      <c r="J98" s="13">
        <v>0.5</v>
      </c>
      <c r="K98" s="13">
        <v>0.1</v>
      </c>
      <c r="L98" s="13">
        <f t="shared" si="5"/>
        <v>16.8</v>
      </c>
      <c r="M98" s="13">
        <f t="shared" si="6"/>
        <v>12.8</v>
      </c>
      <c r="N98" s="13">
        <f t="shared" si="7"/>
        <v>12.8</v>
      </c>
      <c r="O98" s="13">
        <f t="shared" si="8"/>
        <v>1.65</v>
      </c>
      <c r="P98" s="13">
        <f t="shared" si="9"/>
        <v>1</v>
      </c>
      <c r="Q98" s="13">
        <v>0.5</v>
      </c>
    </row>
    <row r="99" s="6" customFormat="1" spans="1:17">
      <c r="A99" s="10" t="s">
        <v>458</v>
      </c>
      <c r="B99" s="11" t="s">
        <v>285</v>
      </c>
      <c r="C99" s="11" t="s">
        <v>244</v>
      </c>
      <c r="D99" s="11">
        <v>12.5</v>
      </c>
      <c r="E99" s="11">
        <v>12.2</v>
      </c>
      <c r="F99" s="11">
        <v>0.6</v>
      </c>
      <c r="G99" s="11">
        <v>5.3</v>
      </c>
      <c r="H99" s="11">
        <v>25</v>
      </c>
      <c r="I99" s="11">
        <v>20</v>
      </c>
      <c r="J99" s="13">
        <v>0.5</v>
      </c>
      <c r="K99" s="13">
        <v>0.1</v>
      </c>
      <c r="L99" s="13">
        <f t="shared" si="5"/>
        <v>12.8</v>
      </c>
      <c r="M99" s="13">
        <f t="shared" si="6"/>
        <v>12.8</v>
      </c>
      <c r="N99" s="13">
        <f t="shared" si="7"/>
        <v>12.8</v>
      </c>
      <c r="O99" s="13">
        <f t="shared" si="8"/>
        <v>1.65</v>
      </c>
      <c r="P99" s="13">
        <f t="shared" si="9"/>
        <v>1</v>
      </c>
      <c r="Q99" s="13">
        <v>0.5</v>
      </c>
    </row>
    <row r="100" s="6" customFormat="1" spans="1:17">
      <c r="A100" s="10" t="s">
        <v>459</v>
      </c>
      <c r="B100" s="11" t="s">
        <v>362</v>
      </c>
      <c r="C100" s="11" t="s">
        <v>460</v>
      </c>
      <c r="D100" s="11">
        <v>12.5</v>
      </c>
      <c r="E100" s="11">
        <v>18.5</v>
      </c>
      <c r="F100" s="11">
        <v>0.6</v>
      </c>
      <c r="G100" s="11">
        <v>5.3</v>
      </c>
      <c r="H100" s="11">
        <v>25</v>
      </c>
      <c r="I100" s="11">
        <v>20</v>
      </c>
      <c r="J100" s="13">
        <v>0.5</v>
      </c>
      <c r="K100" s="13">
        <v>0.1</v>
      </c>
      <c r="L100" s="13">
        <f t="shared" si="5"/>
        <v>19.1</v>
      </c>
      <c r="M100" s="13">
        <f t="shared" si="6"/>
        <v>12.8</v>
      </c>
      <c r="N100" s="13">
        <f t="shared" si="7"/>
        <v>12.8</v>
      </c>
      <c r="O100" s="13">
        <f t="shared" si="8"/>
        <v>1.65</v>
      </c>
      <c r="P100" s="13">
        <f t="shared" si="9"/>
        <v>1</v>
      </c>
      <c r="Q100" s="13">
        <v>0.5</v>
      </c>
    </row>
    <row r="101" s="6" customFormat="1" spans="1:17">
      <c r="A101" s="10" t="s">
        <v>461</v>
      </c>
      <c r="B101" s="11" t="s">
        <v>411</v>
      </c>
      <c r="C101" s="11" t="s">
        <v>462</v>
      </c>
      <c r="D101" s="11">
        <v>12.5</v>
      </c>
      <c r="E101" s="11">
        <v>16.2</v>
      </c>
      <c r="F101" s="11">
        <v>0.6</v>
      </c>
      <c r="G101" s="11">
        <v>5.3</v>
      </c>
      <c r="H101" s="11">
        <v>25</v>
      </c>
      <c r="I101" s="11">
        <v>20</v>
      </c>
      <c r="J101" s="13">
        <v>0.5</v>
      </c>
      <c r="K101" s="13">
        <v>0.1</v>
      </c>
      <c r="L101" s="13">
        <f t="shared" si="5"/>
        <v>16.8</v>
      </c>
      <c r="M101" s="13">
        <f t="shared" si="6"/>
        <v>12.8</v>
      </c>
      <c r="N101" s="13">
        <f t="shared" si="7"/>
        <v>12.8</v>
      </c>
      <c r="O101" s="13">
        <f t="shared" si="8"/>
        <v>1.65</v>
      </c>
      <c r="P101" s="13">
        <f t="shared" si="9"/>
        <v>1</v>
      </c>
      <c r="Q101" s="13">
        <v>0.5</v>
      </c>
    </row>
    <row r="102" s="6" customFormat="1" spans="1:17">
      <c r="A102" s="10" t="s">
        <v>463</v>
      </c>
      <c r="B102" s="11" t="s">
        <v>318</v>
      </c>
      <c r="C102" s="11" t="s">
        <v>464</v>
      </c>
      <c r="D102" s="11">
        <v>12.5</v>
      </c>
      <c r="E102" s="11">
        <v>18.5</v>
      </c>
      <c r="F102" s="11">
        <v>0.6</v>
      </c>
      <c r="G102" s="11">
        <v>5.3</v>
      </c>
      <c r="H102" s="11">
        <v>25</v>
      </c>
      <c r="I102" s="11">
        <v>20</v>
      </c>
      <c r="J102" s="13">
        <v>0.5</v>
      </c>
      <c r="K102" s="13">
        <v>0.1</v>
      </c>
      <c r="L102" s="13">
        <f t="shared" si="5"/>
        <v>19.1</v>
      </c>
      <c r="M102" s="13">
        <f t="shared" si="6"/>
        <v>12.8</v>
      </c>
      <c r="N102" s="13">
        <f t="shared" si="7"/>
        <v>12.8</v>
      </c>
      <c r="O102" s="13">
        <f t="shared" si="8"/>
        <v>1.65</v>
      </c>
      <c r="P102" s="13">
        <f t="shared" si="9"/>
        <v>1</v>
      </c>
      <c r="Q102" s="13">
        <v>0.5</v>
      </c>
    </row>
    <row r="103" s="6" customFormat="1" spans="1:17">
      <c r="A103" s="10" t="s">
        <v>465</v>
      </c>
      <c r="B103" s="11" t="s">
        <v>466</v>
      </c>
      <c r="C103" s="11" t="s">
        <v>467</v>
      </c>
      <c r="D103" s="11">
        <v>16</v>
      </c>
      <c r="E103" s="11">
        <v>16.6</v>
      </c>
      <c r="F103" s="11">
        <v>0.8</v>
      </c>
      <c r="G103" s="11">
        <v>7.8</v>
      </c>
      <c r="H103" s="11">
        <v>25</v>
      </c>
      <c r="I103" s="11">
        <v>20</v>
      </c>
      <c r="J103" s="13">
        <v>0.5</v>
      </c>
      <c r="K103" s="13">
        <v>0.1</v>
      </c>
      <c r="L103" s="13">
        <f t="shared" si="5"/>
        <v>17.2</v>
      </c>
      <c r="M103" s="13">
        <f t="shared" si="6"/>
        <v>17</v>
      </c>
      <c r="N103" s="13">
        <f t="shared" si="7"/>
        <v>17</v>
      </c>
      <c r="O103" s="13">
        <f t="shared" si="8"/>
        <v>3.6</v>
      </c>
      <c r="P103" s="13">
        <f t="shared" si="9"/>
        <v>2</v>
      </c>
      <c r="Q103" s="13">
        <v>0.5</v>
      </c>
    </row>
    <row r="104" s="6" customFormat="1" spans="1:17">
      <c r="A104" s="10" t="s">
        <v>468</v>
      </c>
      <c r="B104" s="11" t="s">
        <v>466</v>
      </c>
      <c r="C104" s="11" t="s">
        <v>469</v>
      </c>
      <c r="D104" s="11">
        <v>16</v>
      </c>
      <c r="E104" s="11">
        <v>20.6</v>
      </c>
      <c r="F104" s="11">
        <v>0.8</v>
      </c>
      <c r="G104" s="11">
        <v>7.8</v>
      </c>
      <c r="H104" s="11">
        <v>25</v>
      </c>
      <c r="I104" s="11">
        <v>20</v>
      </c>
      <c r="J104" s="13">
        <v>0.5</v>
      </c>
      <c r="K104" s="13">
        <v>0.1</v>
      </c>
      <c r="L104" s="13">
        <f t="shared" si="5"/>
        <v>21.2</v>
      </c>
      <c r="M104" s="13">
        <f t="shared" si="6"/>
        <v>17</v>
      </c>
      <c r="N104" s="13">
        <f t="shared" si="7"/>
        <v>17</v>
      </c>
      <c r="O104" s="13">
        <f t="shared" si="8"/>
        <v>3.6</v>
      </c>
      <c r="P104" s="13">
        <f t="shared" si="9"/>
        <v>2</v>
      </c>
      <c r="Q104" s="13">
        <v>0.5</v>
      </c>
    </row>
    <row r="105" s="6" customFormat="1" spans="1:17">
      <c r="A105" s="10" t="s">
        <v>470</v>
      </c>
      <c r="B105" s="11" t="s">
        <v>330</v>
      </c>
      <c r="C105" s="11" t="s">
        <v>471</v>
      </c>
      <c r="D105" s="11">
        <v>16</v>
      </c>
      <c r="E105" s="11">
        <v>25.6</v>
      </c>
      <c r="F105" s="11">
        <v>0.8</v>
      </c>
      <c r="G105" s="11">
        <v>7.8</v>
      </c>
      <c r="H105" s="11">
        <v>25</v>
      </c>
      <c r="I105" s="11">
        <v>20</v>
      </c>
      <c r="J105" s="13">
        <v>0.5</v>
      </c>
      <c r="K105" s="13">
        <v>0.1</v>
      </c>
      <c r="L105" s="13">
        <f t="shared" si="5"/>
        <v>26.2</v>
      </c>
      <c r="M105" s="13">
        <f t="shared" si="6"/>
        <v>17</v>
      </c>
      <c r="N105" s="13">
        <f t="shared" si="7"/>
        <v>17</v>
      </c>
      <c r="O105" s="13">
        <f t="shared" si="8"/>
        <v>3.6</v>
      </c>
      <c r="P105" s="13">
        <f t="shared" si="9"/>
        <v>2</v>
      </c>
      <c r="Q105" s="13">
        <v>0.5</v>
      </c>
    </row>
    <row r="106" s="6" customFormat="1" spans="1:17">
      <c r="A106" s="10" t="s">
        <v>472</v>
      </c>
      <c r="B106" s="11" t="s">
        <v>466</v>
      </c>
      <c r="C106" s="11" t="s">
        <v>473</v>
      </c>
      <c r="D106" s="11">
        <v>16</v>
      </c>
      <c r="E106" s="11">
        <v>19.2</v>
      </c>
      <c r="F106" s="11">
        <v>0.8</v>
      </c>
      <c r="G106" s="11">
        <v>7.8</v>
      </c>
      <c r="H106" s="11">
        <v>25</v>
      </c>
      <c r="I106" s="11">
        <v>20</v>
      </c>
      <c r="J106" s="13">
        <v>0.5</v>
      </c>
      <c r="K106" s="13">
        <v>0.1</v>
      </c>
      <c r="L106" s="13">
        <f t="shared" si="5"/>
        <v>19.8</v>
      </c>
      <c r="M106" s="13">
        <f t="shared" si="6"/>
        <v>17</v>
      </c>
      <c r="N106" s="13">
        <f t="shared" si="7"/>
        <v>17</v>
      </c>
      <c r="O106" s="13">
        <f t="shared" si="8"/>
        <v>3.6</v>
      </c>
      <c r="P106" s="13">
        <f t="shared" si="9"/>
        <v>2</v>
      </c>
      <c r="Q106" s="13">
        <v>0.5</v>
      </c>
    </row>
    <row r="107" s="6" customFormat="1" spans="1:17">
      <c r="A107" s="10" t="s">
        <v>474</v>
      </c>
      <c r="B107" s="11" t="s">
        <v>466</v>
      </c>
      <c r="C107" s="11" t="s">
        <v>475</v>
      </c>
      <c r="D107" s="11">
        <v>18</v>
      </c>
      <c r="E107" s="11">
        <v>20.4</v>
      </c>
      <c r="F107" s="11">
        <v>0.8</v>
      </c>
      <c r="G107" s="11">
        <v>7.8</v>
      </c>
      <c r="H107" s="11">
        <v>25</v>
      </c>
      <c r="I107" s="11">
        <v>20</v>
      </c>
      <c r="J107" s="13">
        <v>0.5</v>
      </c>
      <c r="K107" s="13">
        <v>0.1</v>
      </c>
      <c r="L107" s="13">
        <f t="shared" si="5"/>
        <v>21</v>
      </c>
      <c r="M107" s="13">
        <f t="shared" si="6"/>
        <v>19</v>
      </c>
      <c r="N107" s="13">
        <f t="shared" si="7"/>
        <v>19</v>
      </c>
      <c r="O107" s="13">
        <f t="shared" si="8"/>
        <v>3.1</v>
      </c>
      <c r="P107" s="13">
        <f t="shared" si="9"/>
        <v>2.05</v>
      </c>
      <c r="Q107" s="13">
        <v>0.5</v>
      </c>
    </row>
    <row r="108" s="6" customFormat="1" spans="1:17">
      <c r="A108" s="10" t="s">
        <v>476</v>
      </c>
      <c r="B108" s="11" t="s">
        <v>330</v>
      </c>
      <c r="C108" s="11" t="s">
        <v>477</v>
      </c>
      <c r="D108" s="11">
        <v>18</v>
      </c>
      <c r="E108" s="11">
        <v>25.4</v>
      </c>
      <c r="F108" s="11">
        <v>0.8</v>
      </c>
      <c r="G108" s="11">
        <v>7.8</v>
      </c>
      <c r="H108" s="11">
        <v>25</v>
      </c>
      <c r="I108" s="11">
        <v>20</v>
      </c>
      <c r="J108" s="13">
        <v>0.5</v>
      </c>
      <c r="K108" s="13">
        <v>0.1</v>
      </c>
      <c r="L108" s="13">
        <f t="shared" si="5"/>
        <v>26</v>
      </c>
      <c r="M108" s="13">
        <f t="shared" si="6"/>
        <v>19</v>
      </c>
      <c r="N108" s="13">
        <f t="shared" si="7"/>
        <v>19</v>
      </c>
      <c r="O108" s="13">
        <f t="shared" si="8"/>
        <v>3.1</v>
      </c>
      <c r="P108" s="13">
        <f t="shared" si="9"/>
        <v>2.05</v>
      </c>
      <c r="Q108" s="13">
        <v>0.5</v>
      </c>
    </row>
    <row r="109" s="6" customFormat="1" spans="1:17">
      <c r="A109" s="10" t="s">
        <v>478</v>
      </c>
      <c r="B109" s="11" t="s">
        <v>466</v>
      </c>
      <c r="C109" s="11" t="s">
        <v>479</v>
      </c>
      <c r="D109" s="11">
        <v>18</v>
      </c>
      <c r="E109" s="11">
        <v>20.4</v>
      </c>
      <c r="F109" s="11">
        <v>0.8</v>
      </c>
      <c r="G109" s="11">
        <v>7.8</v>
      </c>
      <c r="H109" s="11">
        <v>25</v>
      </c>
      <c r="I109" s="11">
        <v>20</v>
      </c>
      <c r="J109" s="13">
        <v>0.5</v>
      </c>
      <c r="K109" s="13">
        <v>0.1</v>
      </c>
      <c r="L109" s="13">
        <f t="shared" si="5"/>
        <v>21</v>
      </c>
      <c r="M109" s="13">
        <f t="shared" si="6"/>
        <v>19</v>
      </c>
      <c r="N109" s="13">
        <f t="shared" si="7"/>
        <v>19</v>
      </c>
      <c r="O109" s="13">
        <f t="shared" si="8"/>
        <v>3.1</v>
      </c>
      <c r="P109" s="13">
        <f t="shared" si="9"/>
        <v>2.05</v>
      </c>
      <c r="Q109" s="13">
        <v>0.5</v>
      </c>
    </row>
  </sheetData>
  <autoFilter xmlns:etc="http://www.wps.cn/officeDocument/2017/etCustomData" ref="A1:AC109" etc:filterBottomFollowUsedRange="0">
    <extLst/>
  </autoFilter>
  <mergeCells count="3">
    <mergeCell ref="S4:S5"/>
    <mergeCell ref="T4:T5"/>
    <mergeCell ref="V4:V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9:N24"/>
  <sheetViews>
    <sheetView workbookViewId="0">
      <selection activeCell="C4" sqref="C4"/>
    </sheetView>
  </sheetViews>
  <sheetFormatPr defaultColWidth="9" defaultRowHeight="13.5"/>
  <cols>
    <col min="14" max="14" width="14.5" customWidth="1"/>
  </cols>
  <sheetData>
    <row r="9" ht="14.25"/>
    <row r="10" ht="18" spans="4:14">
      <c r="D10" s="1" t="s">
        <v>289</v>
      </c>
      <c r="E10" s="1" t="s">
        <v>290</v>
      </c>
      <c r="F10" s="2" t="s">
        <v>291</v>
      </c>
      <c r="G10" s="1" t="s">
        <v>292</v>
      </c>
      <c r="H10" s="2" t="s">
        <v>293</v>
      </c>
      <c r="I10" s="2" t="s">
        <v>294</v>
      </c>
      <c r="J10" s="2" t="s">
        <v>295</v>
      </c>
      <c r="K10" s="2" t="s">
        <v>281</v>
      </c>
      <c r="L10" s="2" t="s">
        <v>282</v>
      </c>
      <c r="M10" s="2" t="s">
        <v>296</v>
      </c>
      <c r="N10" s="2" t="s">
        <v>297</v>
      </c>
    </row>
    <row r="11" ht="18" spans="4:14">
      <c r="D11" s="1"/>
      <c r="E11" s="1"/>
      <c r="F11" s="3" t="s">
        <v>300</v>
      </c>
      <c r="G11" s="1"/>
      <c r="H11" s="3" t="s">
        <v>301</v>
      </c>
      <c r="I11" s="3" t="s">
        <v>302</v>
      </c>
      <c r="J11" s="3" t="s">
        <v>303</v>
      </c>
      <c r="K11" s="3" t="s">
        <v>304</v>
      </c>
      <c r="L11" s="3" t="s">
        <v>305</v>
      </c>
      <c r="M11" s="3" t="s">
        <v>306</v>
      </c>
      <c r="N11" s="3" t="s">
        <v>307</v>
      </c>
    </row>
    <row r="12" ht="18" spans="4:14">
      <c r="D12" s="3" t="s">
        <v>309</v>
      </c>
      <c r="E12" s="3" t="s">
        <v>310</v>
      </c>
      <c r="F12" s="3" t="s">
        <v>311</v>
      </c>
      <c r="G12" s="3" t="s">
        <v>311</v>
      </c>
      <c r="H12" s="3" t="s">
        <v>311</v>
      </c>
      <c r="I12" s="3" t="s">
        <v>310</v>
      </c>
      <c r="J12" s="3" t="s">
        <v>311</v>
      </c>
      <c r="K12" s="3" t="s">
        <v>310</v>
      </c>
      <c r="L12" s="3" t="s">
        <v>310</v>
      </c>
      <c r="M12" s="3" t="s">
        <v>310</v>
      </c>
      <c r="N12" s="3" t="s">
        <v>311</v>
      </c>
    </row>
    <row r="13" ht="18" spans="4:14">
      <c r="D13" s="3">
        <v>5</v>
      </c>
      <c r="E13" s="3">
        <v>5.3</v>
      </c>
      <c r="F13" s="3">
        <v>4.95</v>
      </c>
      <c r="G13" s="3">
        <v>0.9</v>
      </c>
      <c r="H13" s="3" t="s">
        <v>313</v>
      </c>
      <c r="I13" s="3">
        <v>1.9</v>
      </c>
      <c r="J13" s="3">
        <v>0.5</v>
      </c>
      <c r="K13" s="3">
        <v>1.6</v>
      </c>
      <c r="L13" s="3">
        <v>0.9</v>
      </c>
      <c r="M13" s="3">
        <v>1</v>
      </c>
      <c r="N13" s="3">
        <v>0.2</v>
      </c>
    </row>
    <row r="14" ht="18" spans="4:14">
      <c r="D14" s="3">
        <v>5.15</v>
      </c>
      <c r="E14" s="3">
        <v>5.3</v>
      </c>
      <c r="F14" s="3">
        <v>4.95</v>
      </c>
      <c r="G14" s="3">
        <v>0.9</v>
      </c>
      <c r="H14" s="3" t="s">
        <v>313</v>
      </c>
      <c r="I14" s="3">
        <v>1.9</v>
      </c>
      <c r="J14" s="3">
        <v>0.5</v>
      </c>
      <c r="K14" s="3">
        <v>1.6</v>
      </c>
      <c r="L14" s="3">
        <v>0.9</v>
      </c>
      <c r="M14" s="3">
        <v>1</v>
      </c>
      <c r="N14" s="3">
        <v>0.2</v>
      </c>
    </row>
    <row r="15" ht="18" spans="4:14">
      <c r="D15" s="3">
        <v>5.45</v>
      </c>
      <c r="E15" s="3">
        <v>6.6</v>
      </c>
      <c r="F15" s="3">
        <v>6.15</v>
      </c>
      <c r="G15" s="3">
        <v>0.9</v>
      </c>
      <c r="H15" s="3" t="s">
        <v>313</v>
      </c>
      <c r="I15" s="3">
        <v>2.4</v>
      </c>
      <c r="J15" s="3">
        <v>0.5</v>
      </c>
      <c r="K15" s="3">
        <v>1.6</v>
      </c>
      <c r="L15" s="3">
        <v>1.05</v>
      </c>
      <c r="M15" s="3">
        <v>1</v>
      </c>
      <c r="N15" s="3">
        <v>0.2</v>
      </c>
    </row>
    <row r="16" ht="18" spans="4:14">
      <c r="D16" s="3">
        <v>6.3</v>
      </c>
      <c r="E16" s="3">
        <v>6.6</v>
      </c>
      <c r="F16" s="3">
        <v>6.15</v>
      </c>
      <c r="G16" s="3">
        <v>0.9</v>
      </c>
      <c r="H16" s="3" t="s">
        <v>313</v>
      </c>
      <c r="I16" s="3">
        <v>2.4</v>
      </c>
      <c r="J16" s="3">
        <v>0.5</v>
      </c>
      <c r="K16" s="3">
        <v>1.6</v>
      </c>
      <c r="L16" s="3">
        <v>1.05</v>
      </c>
      <c r="M16" s="3">
        <v>1</v>
      </c>
      <c r="N16" s="3">
        <v>0.2</v>
      </c>
    </row>
    <row r="17" ht="18" spans="4:14">
      <c r="D17" s="3">
        <v>6.5</v>
      </c>
      <c r="E17" s="3">
        <v>6.6</v>
      </c>
      <c r="F17" s="3">
        <v>6.15</v>
      </c>
      <c r="G17" s="3">
        <v>0.9</v>
      </c>
      <c r="H17" s="3" t="s">
        <v>313</v>
      </c>
      <c r="I17" s="3">
        <v>2.4</v>
      </c>
      <c r="J17" s="3">
        <v>0.5</v>
      </c>
      <c r="K17" s="3">
        <v>1.6</v>
      </c>
      <c r="L17" s="3">
        <v>1.05</v>
      </c>
      <c r="M17" s="3">
        <v>1</v>
      </c>
      <c r="N17" s="3">
        <v>0.2</v>
      </c>
    </row>
    <row r="18" ht="18" spans="4:14">
      <c r="D18" s="3">
        <v>8</v>
      </c>
      <c r="E18" s="3">
        <v>8.3</v>
      </c>
      <c r="F18" s="3">
        <v>8</v>
      </c>
      <c r="G18" s="3">
        <v>0.85</v>
      </c>
      <c r="H18" s="3">
        <v>1.1</v>
      </c>
      <c r="I18" s="3">
        <v>3.5</v>
      </c>
      <c r="J18" s="3">
        <v>0.55</v>
      </c>
      <c r="K18" s="3">
        <v>1.9</v>
      </c>
      <c r="L18" s="3">
        <v>1.1</v>
      </c>
      <c r="M18" s="3">
        <v>1.1</v>
      </c>
      <c r="N18" s="3">
        <v>0.25</v>
      </c>
    </row>
    <row r="19" ht="18" spans="4:14">
      <c r="D19" s="3">
        <v>8.2</v>
      </c>
      <c r="E19" s="3">
        <v>8.3</v>
      </c>
      <c r="F19" s="3">
        <v>8</v>
      </c>
      <c r="G19" s="3">
        <v>0.85</v>
      </c>
      <c r="H19" s="3">
        <v>1.1</v>
      </c>
      <c r="I19" s="3">
        <v>3.5</v>
      </c>
      <c r="J19" s="3">
        <v>0.55</v>
      </c>
      <c r="K19" s="3">
        <v>1.9</v>
      </c>
      <c r="L19" s="3">
        <v>1.1</v>
      </c>
      <c r="M19" s="3">
        <v>1.1</v>
      </c>
      <c r="N19" s="3">
        <v>0.25</v>
      </c>
    </row>
    <row r="20" ht="18" spans="4:14">
      <c r="D20" s="4">
        <v>10</v>
      </c>
      <c r="E20" s="4">
        <v>10.3</v>
      </c>
      <c r="F20" s="4">
        <v>10</v>
      </c>
      <c r="G20" s="4">
        <v>0.85</v>
      </c>
      <c r="H20" s="4">
        <v>1.1</v>
      </c>
      <c r="I20" s="4">
        <v>4.75</v>
      </c>
      <c r="J20" s="4">
        <v>0.55</v>
      </c>
      <c r="K20" s="4">
        <v>1.9</v>
      </c>
      <c r="L20" s="4">
        <v>1.1</v>
      </c>
      <c r="M20" s="4">
        <v>1.1</v>
      </c>
      <c r="N20" s="4">
        <v>0.3</v>
      </c>
    </row>
    <row r="21" ht="18" spans="4:14">
      <c r="D21" s="4">
        <v>10.2</v>
      </c>
      <c r="E21" s="4">
        <v>10.3</v>
      </c>
      <c r="F21" s="4">
        <v>10</v>
      </c>
      <c r="G21" s="4">
        <v>0.85</v>
      </c>
      <c r="H21" s="4">
        <v>1.1</v>
      </c>
      <c r="I21" s="4">
        <v>4.75</v>
      </c>
      <c r="J21" s="4">
        <v>0.55</v>
      </c>
      <c r="K21" s="4">
        <v>1.9</v>
      </c>
      <c r="L21" s="4">
        <v>1.1</v>
      </c>
      <c r="M21" s="4">
        <v>1.1</v>
      </c>
      <c r="N21" s="4">
        <v>0.3</v>
      </c>
    </row>
    <row r="22" ht="18" spans="4:14">
      <c r="D22" s="4">
        <v>12.5</v>
      </c>
      <c r="E22" s="4">
        <v>12.8</v>
      </c>
      <c r="F22" s="4">
        <v>12.5</v>
      </c>
      <c r="G22" s="4">
        <v>1.2</v>
      </c>
      <c r="H22" s="4" t="s">
        <v>324</v>
      </c>
      <c r="I22" s="4">
        <v>5</v>
      </c>
      <c r="J22" s="4">
        <v>0.65</v>
      </c>
      <c r="K22" s="4">
        <v>1.65</v>
      </c>
      <c r="L22" s="4">
        <v>1</v>
      </c>
      <c r="M22" s="4">
        <v>1.2</v>
      </c>
      <c r="N22" s="4">
        <v>0.3</v>
      </c>
    </row>
    <row r="23" ht="18" spans="4:14">
      <c r="D23" s="3">
        <v>16</v>
      </c>
      <c r="E23" s="3">
        <v>17</v>
      </c>
      <c r="F23" s="3">
        <v>15.9</v>
      </c>
      <c r="G23" s="3">
        <v>0.89</v>
      </c>
      <c r="H23" s="3">
        <v>1.35</v>
      </c>
      <c r="I23" s="3">
        <v>7.3</v>
      </c>
      <c r="J23" s="3">
        <v>1</v>
      </c>
      <c r="K23" s="3">
        <v>3.6</v>
      </c>
      <c r="L23" s="3">
        <v>2</v>
      </c>
      <c r="M23" s="3">
        <v>1.4</v>
      </c>
      <c r="N23" s="3" t="s">
        <v>326</v>
      </c>
    </row>
    <row r="24" ht="18" spans="4:14">
      <c r="D24" s="3">
        <v>18</v>
      </c>
      <c r="E24" s="3">
        <v>19</v>
      </c>
      <c r="F24" s="3">
        <v>18</v>
      </c>
      <c r="G24" s="3">
        <v>1.1</v>
      </c>
      <c r="H24" s="3">
        <v>1.48</v>
      </c>
      <c r="I24" s="3">
        <v>7.5</v>
      </c>
      <c r="J24" s="3">
        <v>1.02</v>
      </c>
      <c r="K24" s="3">
        <v>3.1</v>
      </c>
      <c r="L24" s="3">
        <v>2.05</v>
      </c>
      <c r="M24" s="3">
        <v>1.48</v>
      </c>
      <c r="N24" s="3" t="s">
        <v>328</v>
      </c>
    </row>
  </sheetData>
  <mergeCells count="3">
    <mergeCell ref="D10:D11"/>
    <mergeCell ref="E10:E11"/>
    <mergeCell ref="G10:G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引线型</vt:lpstr>
      <vt:lpstr>贴片型 非抗震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WPS_1750757121</cp:lastModifiedBy>
  <dcterms:created xsi:type="dcterms:W3CDTF">2023-05-12T11:15:00Z</dcterms:created>
  <dcterms:modified xsi:type="dcterms:W3CDTF">2026-03-19T01:25:31Z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B4BE74ECAAF4441AA81658303A36D690_13</vt:lpwstr>
  </property>
  <property fmtid="{D5CDD505-2E9C-101B-9397-08002B2CF9AE}" pid="4" name="KSOReadingLayout">
    <vt:bool>true</vt:bool>
  </property>
</Properties>
</file>